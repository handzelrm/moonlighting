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qCqdRVNRzjF6i983ek1lI9+VhnEyqbp/uwRdWGzXwQsW4li1MsAqbWvyNIpsKBPpL/9FQ1pWxhtxZ8PN6eJ5Tw==" workbookSaltValue="guxH5XaGH1BXvTYgwxJOKg==" workbookSpinCount="100000" lockStructure="1"/>
  <bookViews>
    <workbookView xWindow="0" yWindow="0" windowWidth="15617" windowHeight="3634" xr2:uid="{00000000-000D-0000-FFFF-FFFF00000000}"/>
  </bookViews>
  <sheets>
    <sheet name="December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S1" i="5" l="1"/>
  <c r="T1" i="5"/>
  <c r="U1" i="5"/>
  <c r="S2" i="5"/>
  <c r="T2" i="5"/>
  <c r="U2" i="5"/>
  <c r="S3" i="5"/>
  <c r="T3" i="5"/>
  <c r="U3" i="5"/>
  <c r="S4" i="5"/>
  <c r="T4" i="5"/>
  <c r="U4" i="5"/>
  <c r="S5" i="5"/>
  <c r="T5" i="5"/>
  <c r="U5" i="5"/>
  <c r="S6" i="5"/>
  <c r="T6" i="5"/>
  <c r="U6" i="5"/>
  <c r="S7" i="5"/>
  <c r="T7" i="5"/>
  <c r="U7" i="5"/>
  <c r="S8" i="5"/>
  <c r="T8" i="5"/>
  <c r="U8" i="5"/>
  <c r="S9" i="5"/>
  <c r="T9" i="5"/>
  <c r="U9" i="5"/>
  <c r="S10" i="5"/>
  <c r="T10" i="5"/>
  <c r="U10" i="5"/>
  <c r="S11" i="5"/>
  <c r="T11" i="5"/>
  <c r="U11" i="5"/>
  <c r="S12" i="5"/>
  <c r="T12" i="5"/>
  <c r="U12" i="5"/>
  <c r="S13" i="5"/>
  <c r="T13" i="5"/>
  <c r="U13" i="5"/>
  <c r="S14" i="5"/>
  <c r="T14" i="5"/>
  <c r="U14" i="5"/>
  <c r="S15" i="5"/>
  <c r="T15" i="5"/>
  <c r="U15" i="5"/>
  <c r="S16" i="5"/>
  <c r="T16" i="5"/>
  <c r="U16" i="5"/>
  <c r="S17" i="5"/>
  <c r="T17" i="5"/>
  <c r="U17" i="5"/>
  <c r="S18" i="5"/>
  <c r="T18" i="5"/>
  <c r="U18" i="5"/>
  <c r="S19" i="5"/>
  <c r="T19" i="5"/>
  <c r="U19" i="5"/>
  <c r="S20" i="5"/>
  <c r="T20" i="5"/>
  <c r="U20" i="5"/>
  <c r="S21" i="5"/>
  <c r="T21" i="5"/>
  <c r="U21" i="5"/>
  <c r="S22" i="5"/>
  <c r="T22" i="5"/>
  <c r="U22" i="5"/>
  <c r="S23" i="5"/>
  <c r="T23" i="5"/>
  <c r="U23" i="5"/>
  <c r="S24" i="5"/>
  <c r="T24" i="5"/>
  <c r="U24" i="5"/>
  <c r="S25" i="5"/>
  <c r="T25" i="5"/>
  <c r="U25" i="5"/>
  <c r="S26" i="5"/>
  <c r="T26" i="5"/>
  <c r="U26" i="5"/>
  <c r="S27" i="5"/>
  <c r="T27" i="5"/>
  <c r="U27" i="5"/>
  <c r="S28" i="5"/>
  <c r="T28" i="5"/>
  <c r="U28" i="5"/>
  <c r="S29" i="5"/>
  <c r="T29" i="5"/>
  <c r="U29" i="5"/>
  <c r="S30" i="5"/>
  <c r="T30" i="5"/>
  <c r="U30" i="5"/>
  <c r="S31" i="5"/>
  <c r="T31" i="5"/>
  <c r="U31" i="5"/>
  <c r="S32" i="5"/>
  <c r="T32" i="5"/>
  <c r="U32" i="5"/>
  <c r="S33" i="5"/>
  <c r="T33" i="5"/>
  <c r="U33" i="5"/>
  <c r="S34" i="5"/>
  <c r="T34" i="5"/>
  <c r="U34" i="5"/>
  <c r="S35" i="3"/>
  <c r="S35" i="5"/>
  <c r="T35" i="5"/>
  <c r="U35" i="5"/>
  <c r="S36" i="3"/>
  <c r="S37" i="3"/>
  <c r="X3" i="3"/>
  <c r="X4" i="3"/>
  <c r="X5" i="3"/>
  <c r="X6" i="3"/>
  <c r="W6" i="5" s="1"/>
  <c r="X7" i="3"/>
  <c r="W7" i="5" s="1"/>
  <c r="X8" i="3"/>
  <c r="W8" i="5" s="1"/>
  <c r="X9" i="3"/>
  <c r="X10" i="3"/>
  <c r="X11" i="3"/>
  <c r="W11" i="5"/>
  <c r="X12" i="3"/>
  <c r="X13" i="3"/>
  <c r="X14" i="3"/>
  <c r="X15" i="3"/>
  <c r="X16" i="3"/>
  <c r="X17" i="3"/>
  <c r="X18" i="3"/>
  <c r="W18" i="5"/>
  <c r="X19" i="3"/>
  <c r="X20" i="3"/>
  <c r="X21" i="3"/>
  <c r="W21" i="5" s="1"/>
  <c r="X22" i="3"/>
  <c r="X23" i="3"/>
  <c r="W23" i="5" s="1"/>
  <c r="X24" i="3"/>
  <c r="X25" i="3"/>
  <c r="X26" i="3"/>
  <c r="W26" i="5"/>
  <c r="X27" i="3"/>
  <c r="X28" i="3"/>
  <c r="X29" i="3"/>
  <c r="X30" i="3"/>
  <c r="W30" i="5" s="1"/>
  <c r="X31" i="3"/>
  <c r="X2" i="3"/>
  <c r="X32" i="3"/>
  <c r="M27" i="5"/>
  <c r="AI34" i="3"/>
  <c r="AH34" i="3"/>
  <c r="AG34" i="3"/>
  <c r="AF34" i="3"/>
  <c r="AE34" i="3"/>
  <c r="AC32" i="3"/>
  <c r="AA1" i="5"/>
  <c r="AB1" i="5"/>
  <c r="D35" i="3"/>
  <c r="D35" i="5"/>
  <c r="E35" i="3"/>
  <c r="F35" i="3"/>
  <c r="F35" i="5"/>
  <c r="G35" i="3"/>
  <c r="G35" i="5" s="1"/>
  <c r="H35" i="3"/>
  <c r="H35" i="5" s="1"/>
  <c r="I35" i="3"/>
  <c r="I35" i="5" s="1"/>
  <c r="J35" i="3"/>
  <c r="J35" i="5"/>
  <c r="K35" i="3"/>
  <c r="K35" i="5"/>
  <c r="L35" i="3"/>
  <c r="L36" i="3"/>
  <c r="L37" i="3"/>
  <c r="M35" i="3"/>
  <c r="M35" i="5" s="1"/>
  <c r="N35" i="3"/>
  <c r="N35" i="5" s="1"/>
  <c r="O35" i="3"/>
  <c r="O35" i="5"/>
  <c r="P35" i="3"/>
  <c r="P35" i="5" s="1"/>
  <c r="Q35" i="3"/>
  <c r="Q35" i="5"/>
  <c r="R35" i="3"/>
  <c r="R35" i="5"/>
  <c r="T35" i="3"/>
  <c r="U35" i="3"/>
  <c r="U36" i="3"/>
  <c r="U37" i="3"/>
  <c r="C35" i="3"/>
  <c r="C35" i="5"/>
  <c r="AC3" i="3"/>
  <c r="AB3" i="5"/>
  <c r="AC4" i="3"/>
  <c r="AB4" i="5"/>
  <c r="AC5" i="3"/>
  <c r="AB5" i="5"/>
  <c r="AC6" i="3"/>
  <c r="AB6" i="5" s="1"/>
  <c r="AC7" i="3"/>
  <c r="AB7" i="5"/>
  <c r="AC8" i="3"/>
  <c r="AB8" i="5" s="1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 s="1"/>
  <c r="AC22" i="3"/>
  <c r="AB22" i="5" s="1"/>
  <c r="AC23" i="3"/>
  <c r="AB23" i="5" s="1"/>
  <c r="AC24" i="3"/>
  <c r="AB24" i="5"/>
  <c r="AC25" i="3"/>
  <c r="AB25" i="5"/>
  <c r="AC26" i="3"/>
  <c r="AB26" i="5"/>
  <c r="AC27" i="3"/>
  <c r="AB27" i="5"/>
  <c r="AC28" i="3"/>
  <c r="AB28" i="5"/>
  <c r="AC29" i="3"/>
  <c r="AB29" i="5" s="1"/>
  <c r="AC30" i="3"/>
  <c r="AB30" i="5" s="1"/>
  <c r="AC31" i="3"/>
  <c r="AB31" i="5"/>
  <c r="AC2" i="3"/>
  <c r="AB2" i="5"/>
  <c r="B48" i="3"/>
  <c r="T48" i="3"/>
  <c r="B49" i="3"/>
  <c r="T49" i="3"/>
  <c r="W33" i="5"/>
  <c r="X33" i="5"/>
  <c r="W34" i="5"/>
  <c r="X34" i="5"/>
  <c r="W35" i="5"/>
  <c r="X35" i="5"/>
  <c r="T36" i="3"/>
  <c r="T39" i="3"/>
  <c r="T40" i="3"/>
  <c r="T41" i="3"/>
  <c r="T42" i="3"/>
  <c r="T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M47" i="3" s="1"/>
  <c r="N45" i="3"/>
  <c r="O45" i="3"/>
  <c r="P45" i="3"/>
  <c r="Q45" i="3"/>
  <c r="Q46" i="3"/>
  <c r="R45" i="3"/>
  <c r="L46" i="3"/>
  <c r="M46" i="3"/>
  <c r="N46" i="3"/>
  <c r="O46" i="3"/>
  <c r="P46" i="3"/>
  <c r="R46" i="3"/>
  <c r="Y12" i="3"/>
  <c r="X12" i="5"/>
  <c r="W3" i="5"/>
  <c r="Y3" i="3"/>
  <c r="X3" i="5"/>
  <c r="Z3" i="3"/>
  <c r="Y3" i="5"/>
  <c r="AA3" i="3"/>
  <c r="Z3" i="5"/>
  <c r="AB3" i="3"/>
  <c r="AA3" i="5"/>
  <c r="W4" i="5"/>
  <c r="Y4" i="3"/>
  <c r="X4" i="5"/>
  <c r="Z4" i="3"/>
  <c r="Y4" i="5"/>
  <c r="AA4" i="3"/>
  <c r="Z4" i="5"/>
  <c r="AB4" i="3"/>
  <c r="AA4" i="5"/>
  <c r="W5" i="5"/>
  <c r="Y5" i="3"/>
  <c r="X5" i="5"/>
  <c r="Z5" i="3"/>
  <c r="Y5" i="5"/>
  <c r="AA5" i="3"/>
  <c r="Z5" i="5"/>
  <c r="AB5" i="3"/>
  <c r="AA5" i="5"/>
  <c r="Y6" i="3"/>
  <c r="X6" i="5" s="1"/>
  <c r="Z6" i="3"/>
  <c r="Y6" i="5" s="1"/>
  <c r="AA6" i="3"/>
  <c r="Z6" i="5" s="1"/>
  <c r="AB6" i="3"/>
  <c r="AA6" i="5" s="1"/>
  <c r="Y7" i="3"/>
  <c r="X7" i="5"/>
  <c r="Z7" i="3"/>
  <c r="Y7" i="5" s="1"/>
  <c r="AA7" i="3"/>
  <c r="Z7" i="5"/>
  <c r="AB7" i="3"/>
  <c r="AA7" i="5" s="1"/>
  <c r="Y8" i="3"/>
  <c r="X8" i="5" s="1"/>
  <c r="Z8" i="3"/>
  <c r="Y8" i="5" s="1"/>
  <c r="AA8" i="3"/>
  <c r="Z8" i="5" s="1"/>
  <c r="AB8" i="3"/>
  <c r="AA8" i="5" s="1"/>
  <c r="W9" i="5"/>
  <c r="Y9" i="3"/>
  <c r="X9" i="5"/>
  <c r="Z9" i="3"/>
  <c r="Y9" i="5"/>
  <c r="AA9" i="3"/>
  <c r="Z9" i="5"/>
  <c r="AB9" i="3"/>
  <c r="AA9" i="5"/>
  <c r="W10" i="5"/>
  <c r="Y10" i="3"/>
  <c r="X10" i="5"/>
  <c r="Z10" i="3"/>
  <c r="Y10" i="5"/>
  <c r="AA10" i="3"/>
  <c r="Z10" i="5"/>
  <c r="AB10" i="3"/>
  <c r="AA10" i="5"/>
  <c r="Y11" i="3"/>
  <c r="X11" i="5"/>
  <c r="Z11" i="3"/>
  <c r="Y11" i="5"/>
  <c r="AA11" i="3"/>
  <c r="Z11" i="5"/>
  <c r="AB11" i="3"/>
  <c r="AA11" i="5"/>
  <c r="W12" i="5"/>
  <c r="Z12" i="3"/>
  <c r="Y12" i="5" s="1"/>
  <c r="AA12" i="3"/>
  <c r="Z12" i="5"/>
  <c r="AB12" i="3"/>
  <c r="AA12" i="5" s="1"/>
  <c r="W13" i="5"/>
  <c r="Y13" i="3"/>
  <c r="X13" i="5"/>
  <c r="Z13" i="3"/>
  <c r="Y13" i="5"/>
  <c r="AA13" i="3"/>
  <c r="Z13" i="5"/>
  <c r="AB13" i="3"/>
  <c r="AA13" i="5"/>
  <c r="W14" i="5"/>
  <c r="Y14" i="3"/>
  <c r="X14" i="5"/>
  <c r="Z14" i="3"/>
  <c r="Y14" i="5"/>
  <c r="AA14" i="3"/>
  <c r="Z14" i="5"/>
  <c r="AB14" i="3"/>
  <c r="AA14" i="5"/>
  <c r="W15" i="5"/>
  <c r="Y15" i="3"/>
  <c r="X15" i="5"/>
  <c r="Z15" i="3"/>
  <c r="Y15" i="5"/>
  <c r="AA15" i="3"/>
  <c r="Z15" i="5"/>
  <c r="AB15" i="3"/>
  <c r="AA15" i="5"/>
  <c r="W16" i="5"/>
  <c r="Y16" i="3"/>
  <c r="X16" i="5"/>
  <c r="Z16" i="3"/>
  <c r="Y16" i="5"/>
  <c r="AA16" i="3"/>
  <c r="Z16" i="5"/>
  <c r="AB16" i="3"/>
  <c r="AA16" i="5"/>
  <c r="W17" i="5"/>
  <c r="Y17" i="3"/>
  <c r="X17" i="5"/>
  <c r="Z17" i="3"/>
  <c r="Y17" i="5"/>
  <c r="AA17" i="3"/>
  <c r="Z17" i="5"/>
  <c r="AB17" i="3"/>
  <c r="AA17" i="5"/>
  <c r="Y18" i="3"/>
  <c r="X18" i="5"/>
  <c r="Z18" i="3"/>
  <c r="Y18" i="5"/>
  <c r="AA18" i="3"/>
  <c r="Z18" i="5"/>
  <c r="AB18" i="3"/>
  <c r="AA18" i="5"/>
  <c r="W19" i="5"/>
  <c r="Y19" i="3"/>
  <c r="X19" i="5"/>
  <c r="Z19" i="3"/>
  <c r="Y19" i="5"/>
  <c r="AA19" i="3"/>
  <c r="Z19" i="5"/>
  <c r="AB19" i="3"/>
  <c r="AA19" i="5"/>
  <c r="W20" i="5"/>
  <c r="Y20" i="3"/>
  <c r="X20" i="5"/>
  <c r="Z20" i="3"/>
  <c r="Y20" i="5"/>
  <c r="AA20" i="3"/>
  <c r="Z20" i="5"/>
  <c r="AB20" i="3"/>
  <c r="AA20" i="5"/>
  <c r="Y21" i="3"/>
  <c r="X21" i="5" s="1"/>
  <c r="Z21" i="3"/>
  <c r="Y21" i="5" s="1"/>
  <c r="AA21" i="3"/>
  <c r="Z21" i="5" s="1"/>
  <c r="AB21" i="3"/>
  <c r="AA21" i="5" s="1"/>
  <c r="W22" i="5"/>
  <c r="Y22" i="3"/>
  <c r="X22" i="5" s="1"/>
  <c r="Z22" i="3"/>
  <c r="Y22" i="5" s="1"/>
  <c r="AA22" i="3"/>
  <c r="Z22" i="5" s="1"/>
  <c r="AB22" i="3"/>
  <c r="AA22" i="5" s="1"/>
  <c r="Y23" i="3"/>
  <c r="X23" i="5" s="1"/>
  <c r="Z23" i="3"/>
  <c r="Y23" i="5" s="1"/>
  <c r="AA23" i="3"/>
  <c r="Z23" i="5"/>
  <c r="AB23" i="3"/>
  <c r="AA23" i="5" s="1"/>
  <c r="W24" i="5"/>
  <c r="Y24" i="3"/>
  <c r="X24" i="5"/>
  <c r="Z24" i="3"/>
  <c r="Y24" i="5"/>
  <c r="AA24" i="3"/>
  <c r="Z24" i="5"/>
  <c r="AB24" i="3"/>
  <c r="AA24" i="5"/>
  <c r="W25" i="5"/>
  <c r="Y25" i="3"/>
  <c r="X25" i="5"/>
  <c r="Z25" i="3"/>
  <c r="Y25" i="5"/>
  <c r="AA25" i="3"/>
  <c r="Z25" i="5"/>
  <c r="AB25" i="3"/>
  <c r="AA25" i="5"/>
  <c r="Y26" i="3"/>
  <c r="X26" i="5"/>
  <c r="Z26" i="3"/>
  <c r="Y26" i="5"/>
  <c r="AA26" i="3"/>
  <c r="Z26" i="5"/>
  <c r="AB26" i="3"/>
  <c r="AA26" i="5"/>
  <c r="W27" i="5"/>
  <c r="Y27" i="3"/>
  <c r="X27" i="5"/>
  <c r="Z27" i="3"/>
  <c r="Y27" i="5"/>
  <c r="AA27" i="3"/>
  <c r="Z27" i="5"/>
  <c r="AB27" i="3"/>
  <c r="AA27" i="5"/>
  <c r="W28" i="5"/>
  <c r="Y28" i="3"/>
  <c r="X28" i="5"/>
  <c r="Z28" i="3"/>
  <c r="Y28" i="5"/>
  <c r="AA28" i="3"/>
  <c r="Z28" i="5"/>
  <c r="AB28" i="3"/>
  <c r="AA28" i="5"/>
  <c r="W29" i="5"/>
  <c r="Y29" i="3"/>
  <c r="X29" i="5" s="1"/>
  <c r="Z29" i="3"/>
  <c r="Y29" i="5" s="1"/>
  <c r="AA29" i="3"/>
  <c r="Z29" i="5" s="1"/>
  <c r="AB29" i="3"/>
  <c r="AA29" i="5" s="1"/>
  <c r="Y30" i="3"/>
  <c r="X30" i="5"/>
  <c r="Z30" i="3"/>
  <c r="Y30" i="5" s="1"/>
  <c r="AA30" i="3"/>
  <c r="Z30" i="5" s="1"/>
  <c r="AB30" i="3"/>
  <c r="AA30" i="5" s="1"/>
  <c r="W31" i="5"/>
  <c r="Y31" i="3"/>
  <c r="X31" i="5"/>
  <c r="Z31" i="3"/>
  <c r="Y31" i="5"/>
  <c r="AA31" i="3"/>
  <c r="Z31" i="5"/>
  <c r="AB31" i="3"/>
  <c r="AA31" i="5"/>
  <c r="AB2" i="3"/>
  <c r="AA2" i="5"/>
  <c r="AA2" i="3"/>
  <c r="Z2" i="5"/>
  <c r="Z2" i="3"/>
  <c r="Y2" i="5"/>
  <c r="Y2" i="3"/>
  <c r="X2" i="5"/>
  <c r="W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F36" i="3"/>
  <c r="H36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U39" i="3"/>
  <c r="C40" i="3"/>
  <c r="D40" i="3"/>
  <c r="E40" i="3"/>
  <c r="F40" i="3"/>
  <c r="G40" i="3"/>
  <c r="H40" i="3"/>
  <c r="I40" i="3"/>
  <c r="J40" i="3"/>
  <c r="K40" i="3"/>
  <c r="U40" i="3"/>
  <c r="C41" i="3"/>
  <c r="D41" i="3"/>
  <c r="E41" i="3"/>
  <c r="F41" i="3"/>
  <c r="G41" i="3"/>
  <c r="H41" i="3"/>
  <c r="I41" i="3"/>
  <c r="J41" i="3"/>
  <c r="K41" i="3"/>
  <c r="U41" i="3"/>
  <c r="C42" i="3"/>
  <c r="D42" i="3"/>
  <c r="E42" i="3"/>
  <c r="F42" i="3"/>
  <c r="G42" i="3"/>
  <c r="H42" i="3"/>
  <c r="I42" i="3"/>
  <c r="J42" i="3"/>
  <c r="K42" i="3"/>
  <c r="U42" i="3"/>
  <c r="C43" i="3"/>
  <c r="D43" i="3"/>
  <c r="E43" i="3"/>
  <c r="F43" i="3"/>
  <c r="G43" i="3"/>
  <c r="H43" i="3"/>
  <c r="I43" i="3"/>
  <c r="J43" i="3"/>
  <c r="K43" i="3"/>
  <c r="U43" i="3"/>
  <c r="C44" i="3"/>
  <c r="D44" i="3"/>
  <c r="E44" i="3"/>
  <c r="F44" i="3"/>
  <c r="G44" i="3"/>
  <c r="H44" i="3"/>
  <c r="I44" i="3"/>
  <c r="I47" i="3" s="1"/>
  <c r="J44" i="3"/>
  <c r="K44" i="3"/>
  <c r="U44" i="3"/>
  <c r="C45" i="3"/>
  <c r="D45" i="3"/>
  <c r="E45" i="3"/>
  <c r="F45" i="3"/>
  <c r="F46" i="3"/>
  <c r="F47" i="3"/>
  <c r="G45" i="3"/>
  <c r="H45" i="3"/>
  <c r="I45" i="3"/>
  <c r="J45" i="3"/>
  <c r="J46" i="3"/>
  <c r="J47" i="3"/>
  <c r="K45" i="3"/>
  <c r="U45" i="3"/>
  <c r="C46" i="3"/>
  <c r="D46" i="3"/>
  <c r="E46" i="3"/>
  <c r="G46" i="3"/>
  <c r="H46" i="3"/>
  <c r="I46" i="3"/>
  <c r="K46" i="3"/>
  <c r="U46" i="3"/>
  <c r="E35" i="5"/>
  <c r="Y32" i="3"/>
  <c r="X32" i="5"/>
  <c r="Z32" i="3"/>
  <c r="Y32" i="5"/>
  <c r="AA32" i="3"/>
  <c r="Z32" i="5"/>
  <c r="AB32" i="3"/>
  <c r="AA32" i="5"/>
  <c r="W32" i="5"/>
  <c r="E37" i="3"/>
  <c r="K49" i="3"/>
  <c r="D49" i="3"/>
  <c r="U49" i="3"/>
  <c r="G49" i="3"/>
  <c r="Q49" i="3"/>
  <c r="U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L35" i="5"/>
  <c r="D37" i="3"/>
  <c r="O47" i="3"/>
  <c r="F37" i="3"/>
  <c r="C37" i="3"/>
  <c r="R47" i="3"/>
  <c r="R37" i="3"/>
  <c r="K37" i="3"/>
  <c r="L47" i="3"/>
  <c r="Q37" i="3"/>
  <c r="I37" i="3"/>
  <c r="U47" i="3"/>
  <c r="D47" i="3"/>
  <c r="K47" i="3"/>
  <c r="Q47" i="3"/>
  <c r="T37" i="3"/>
  <c r="O37" i="3"/>
  <c r="E47" i="3"/>
  <c r="H37" i="3"/>
  <c r="J37" i="3"/>
  <c r="C47" i="3"/>
  <c r="Y38" i="3"/>
  <c r="Y36" i="3" l="1"/>
  <c r="G37" i="3"/>
  <c r="P47" i="3"/>
  <c r="P37" i="3"/>
  <c r="H47" i="3"/>
  <c r="G47" i="3"/>
  <c r="Y37" i="3"/>
  <c r="N47" i="3"/>
  <c r="N37" i="3"/>
</calcChain>
</file>

<file path=xl/sharedStrings.xml><?xml version="1.0" encoding="utf-8"?>
<sst xmlns="http://schemas.openxmlformats.org/spreadsheetml/2006/main" count="573" uniqueCount="75">
  <si>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</si>
  <si>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</si>
  <si>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</si>
  <si>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</si>
  <si>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</si>
  <si>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</si>
  <si>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</si>
  <si>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</si>
  <si>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</si>
  <si>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</si>
  <si>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</si>
  <si>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</si>
  <si>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</si>
  <si>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</si>
  <si>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</si>
  <si>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</si>
  <si>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</si>
  <si>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</si>
  <si>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</si>
  <si>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</si>
  <si>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</si>
  <si>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</si>
  <si>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</si>
  <si>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</si>
  <si>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</si>
  <si>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</si>
  <si>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</si>
  <si>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</si>
  <si>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</si>
  <si>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</si>
  <si>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</si>
  <si>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</si>
  <si>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</si>
  <si>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</si>
  <si>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</si>
  <si>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</si>
  <si>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</si>
  <si>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</si>
  <si>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</si>
  <si>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</si>
  <si>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</si>
  <si>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</si>
  <si>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</si>
  <si>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</si>
  <si>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</si>
  <si>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</si>
  <si>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</si>
  <si>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</si>
  <si>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</si>
  <si>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</si>
  <si>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</si>
  <si>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</si>
  <si>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</si>
  <si>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</si>
  <si>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</si>
  <si>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</si>
  <si>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</si>
  <si>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</si>
  <si>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2-3 nights 1-2-3</t>
  </si>
  <si>
    <t>avail 27th</t>
  </si>
  <si>
    <t>off 29-31st?</t>
  </si>
  <si>
    <t>6</t>
  </si>
  <si>
    <t>3-4</t>
  </si>
  <si>
    <t>Torres</t>
  </si>
  <si>
    <t>MOHAN</t>
  </si>
  <si>
    <t>ALARCON</t>
  </si>
  <si>
    <t>PUYANA</t>
  </si>
  <si>
    <t>NEAL</t>
  </si>
  <si>
    <t>FORSYTHE</t>
  </si>
  <si>
    <t>BILLIAR</t>
  </si>
  <si>
    <t>ZUCKERBRAUN</t>
  </si>
  <si>
    <t>SPERRY</t>
  </si>
  <si>
    <t>SCHUCHERT</t>
  </si>
  <si>
    <t>1</t>
  </si>
  <si>
    <t>defer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</si>
</sst>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8" fillId="2" borderId="0" xfId="0" applyFont="1" applyFill="1" applyBorder="1" applyAlignment="1">
      <alignment wrapText="1"/>
    </xf>
    <xf numFmtId="0" fontId="0" fillId="0" borderId="0" xfId="0" quotePrefix="1" applyFill="1" applyAlignment="1" applyProtection="1">
      <alignment horizontal="center"/>
      <protection hidden="1"/>
    </xf>
    <xf numFmtId="0" fontId="11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1" fillId="2" borderId="2" xfId="0" applyFont="1" applyFill="1" applyBorder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42" sqref="K41:K42"/>
    </sheetView>
  </sheetViews>
  <sheetFormatPr defaultColWidth="9.3046875" defaultRowHeight="14.6" x14ac:dyDescent="0.4"/>
  <cols>
    <col min="1" max="1" width="11" style="28" customWidth="1"/>
    <col min="2" max="2" width="5.53515625" style="28" bestFit="1" customWidth="1"/>
    <col min="3" max="3" width="9.3046875" style="28" customWidth="1"/>
    <col min="4" max="4" width="14.53515625" style="28" bestFit="1" customWidth="1"/>
    <col min="5" max="5" width="9.3046875" style="28" customWidth="1"/>
    <col min="6" max="6" width="12.15234375" style="28" bestFit="1" customWidth="1"/>
    <col min="7" max="7" width="9.3046875" style="28" customWidth="1"/>
    <col min="8" max="8" width="9.69140625" style="28" bestFit="1" customWidth="1"/>
    <col min="9" max="12" width="9.3046875" style="28" customWidth="1"/>
    <col min="13" max="13" width="13.84375" style="28" bestFit="1" customWidth="1"/>
    <col min="14" max="14" width="10.3046875" style="28" bestFit="1" customWidth="1"/>
    <col min="15" max="17" width="9.3046875" style="28" customWidth="1"/>
    <col min="18" max="18" width="10.3828125" style="28" bestFit="1" customWidth="1"/>
    <col min="19" max="21" width="9.3046875" style="28" customWidth="1"/>
    <col min="22" max="22" width="8.53515625" style="28" customWidth="1"/>
    <col min="23" max="27" width="16.84375" style="28" bestFit="1" customWidth="1"/>
    <col min="28" max="28" width="0" style="28" hidden="1" customWidth="1"/>
    <col min="29" max="16384" width="9.3046875" style="28"/>
  </cols>
  <sheetData>
    <row r="1" spans="1:28" x14ac:dyDescent="0.4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Torres</v>
      </c>
      <c r="T1" s="28" t="str">
        <f>IF(ISBLANK(Master!T1),"",Master!T1)</f>
        <v>Yecies</v>
      </c>
      <c r="U1" s="28" t="str">
        <f>IF(ISBLANK(Master!U1),"",Master!U1)</f>
        <v>Egro</v>
      </c>
      <c r="W1" s="28" t="str">
        <f>IF(ISBLANK(Master!X1),"",Master!X1)</f>
        <v>Trauma</v>
      </c>
      <c r="X1" s="28" t="str">
        <f>IF(ISBLANK(Master!Y1),"",Master!Y1)</f>
        <v>SHY</v>
      </c>
      <c r="Y1" s="28" t="str">
        <f>IF(ISBLANK(Master!Z1),"",Master!Z1)</f>
        <v>CHP Sr.</v>
      </c>
      <c r="Z1" s="28" t="str">
        <f>IF(ISBLANK(Master!AA1),"",Master!AA1)</f>
        <v>CHP Jr.</v>
      </c>
      <c r="AA1" s="28" t="str">
        <f>IF(ISBLANK(Master!AB1),"",Master!AB1)</f>
        <v>CT</v>
      </c>
      <c r="AB1" s="28" t="str">
        <f>IF(ISBLANK(Master!AC1),"",Master!AC1)</f>
        <v>6FG</v>
      </c>
    </row>
    <row r="2" spans="1:28" x14ac:dyDescent="0.4">
      <c r="A2" s="28" t="str">
        <f>IF(ISBLANK(Master!A2),"",Master!A2)</f>
        <v>Fri</v>
      </c>
      <c r="B2" s="28">
        <f>IF(ISBLANK(Master!B2),"",Master!B2)</f>
        <v>1</v>
      </c>
      <c r="C2" s="28" t="str">
        <f>IF(ISBLANK(Master!C2),"",Master!C2)</f>
        <v/>
      </c>
      <c r="D2" s="28" t="str">
        <f>IF(ISBLANK(Master!D2),"",Master!D2)</f>
        <v/>
      </c>
      <c r="E2" s="28" t="str">
        <f>IF(ISBLANK(Master!E2),"",Master!E2)</f>
        <v/>
      </c>
      <c r="F2" s="28" t="str">
        <f>IF(ISBLANK(Master!F2),"",Master!F2)</f>
        <v/>
      </c>
      <c r="G2" s="28">
        <f>IF(ISBLANK(Master!G2),"",Master!G2)</f>
        <v>0</v>
      </c>
      <c r="H2" s="28" t="str">
        <f>IF(ISBLANK(Master!H2),"",Master!H2)</f>
        <v>x</v>
      </c>
      <c r="I2" s="28" t="str">
        <f>IF(ISBLANK(Master!I2),"",Master!I2)</f>
        <v/>
      </c>
      <c r="J2" s="28" t="str">
        <f>IF(ISBLANK(Master!J2),"",Master!J2)</f>
        <v>x</v>
      </c>
      <c r="K2" s="28" t="str">
        <f>IF(ISBLANK(Master!K2),"",Master!K2)</f>
        <v>CT</v>
      </c>
      <c r="L2" s="28" t="str">
        <f>IF(ISBLANK(Master!L2),"",Master!L2)</f>
        <v/>
      </c>
      <c r="M2" s="28" t="str">
        <f>IF(ISBLANK(Master!M2),"",Master!M2)</f>
        <v>Trauma</v>
      </c>
      <c r="N2" s="28">
        <f>IF(ISBLANK(Master!N2),"",Master!N2)</f>
        <v>1</v>
      </c>
      <c r="O2" s="28" t="str">
        <f>IF(ISBLANK(Master!O2),"",Master!O2)</f>
        <v>x</v>
      </c>
      <c r="P2" s="28">
        <f>IF(ISBLANK(Master!P2),"",Master!P2)</f>
        <v>0</v>
      </c>
      <c r="Q2" s="28" t="str">
        <f>IF(ISBLANK(Master!Q2),"",Master!Q2)</f>
        <v/>
      </c>
      <c r="R2" s="28" t="str">
        <f>IF(ISBLANK(Master!R2),"",Master!R2)</f>
        <v>x</v>
      </c>
      <c r="S2" s="28" t="str">
        <f>IF(ISBLANK(Master!S2),"",Master!S2)</f>
        <v>x</v>
      </c>
      <c r="T2" s="28" t="str">
        <f>IF(ISBLANK(Master!T2),"",Master!T2)</f>
        <v/>
      </c>
      <c r="U2" s="28" t="str">
        <f>IF(ISBLANK(Master!U2),"",Master!U2)</f>
        <v/>
      </c>
      <c r="W2" s="28" t="str">
        <f>IF(ISBLANK(Master!X2),"",Master!X2)</f>
        <v>Dadashzadeh</v>
      </c>
      <c r="X2" s="28" t="str">
        <f>IF(ISBLANK(Master!Y2),"",Master!Y2)</f>
        <v/>
      </c>
      <c r="Y2" s="28" t="str">
        <f>IF(ISBLANK(Master!Z2),"",Master!Z2)</f>
        <v/>
      </c>
      <c r="Z2" s="28" t="str">
        <f>IF(ISBLANK(Master!AA2),"",Master!AA2)</f>
        <v/>
      </c>
      <c r="AA2" s="28" t="str">
        <f>IF(ISBLANK(Master!AB2),"",Master!AB2)</f>
        <v>Tam</v>
      </c>
      <c r="AB2" s="28" t="str">
        <f>IF(ISBLANK(Master!AC2),"",Master!AC2)</f>
        <v/>
      </c>
    </row>
    <row r="3" spans="1:28" x14ac:dyDescent="0.4">
      <c r="A3" s="28" t="str">
        <f>IF(ISBLANK(Master!A3),"",Master!A3)</f>
        <v>Sat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x</v>
      </c>
      <c r="E3" s="28" t="str">
        <f>IF(ISBLANK(Master!E3),"",Master!E3)</f>
        <v/>
      </c>
      <c r="F3" s="28" t="str">
        <f>IF(ISBLANK(Master!F3),"",Master!F3)</f>
        <v/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/>
      </c>
      <c r="J3" s="28" t="str">
        <f>IF(ISBLANK(Master!J3),"",Master!J3)</f>
        <v/>
      </c>
      <c r="K3" s="28" t="str">
        <f>IF(ISBLANK(Master!K3),"",Master!K3)</f>
        <v>Trauma</v>
      </c>
      <c r="L3" s="28" t="str">
        <f>IF(ISBLANK(Master!L3),"",Master!L3)</f>
        <v/>
      </c>
      <c r="M3" s="28" t="str">
        <f>IF(ISBLANK(Master!M3),"",Master!M3)</f>
        <v/>
      </c>
      <c r="N3" s="28" t="str">
        <f>IF(ISBLANK(Master!N3),"",Master!N3)</f>
        <v/>
      </c>
      <c r="O3" s="28" t="str">
        <f>IF(ISBLANK(Master!O3),"",Master!O3)</f>
        <v>x</v>
      </c>
      <c r="P3" s="28" t="str">
        <f>IF(ISBLANK(Master!P3),"",Master!P3)</f>
        <v/>
      </c>
      <c r="Q3" s="28" t="str">
        <f>IF(ISBLANK(Master!Q3),"",Master!Q3)</f>
        <v/>
      </c>
      <c r="R3" s="28" t="str">
        <f>IF(ISBLANK(Master!R3),"",Master!R3)</f>
        <v>x</v>
      </c>
      <c r="S3" s="28" t="str">
        <f>IF(ISBLANK(Master!S3),"",Master!S3)</f>
        <v>x</v>
      </c>
      <c r="T3" s="28" t="str">
        <f>IF(ISBLANK(Master!T3),"",Master!T3)</f>
        <v/>
      </c>
      <c r="U3" s="28" t="str">
        <f>IF(ISBLANK(Master!U3),"",Master!U3)</f>
        <v/>
      </c>
      <c r="W3" s="28" t="str">
        <f>IF(ISBLANK(Master!X3),"",Master!X3)</f>
        <v>Tam</v>
      </c>
      <c r="X3" s="28" t="str">
        <f>IF(ISBLANK(Master!Y3),"",Master!Y3)</f>
        <v/>
      </c>
      <c r="Y3" s="28" t="str">
        <f>IF(ISBLANK(Master!Z3),"",Master!Z3)</f>
        <v/>
      </c>
      <c r="Z3" s="28" t="str">
        <f>IF(ISBLANK(Master!AA3),"",Master!AA3)</f>
        <v/>
      </c>
      <c r="AA3" s="28" t="str">
        <f>IF(ISBLANK(Master!AB3),"",Master!AB3)</f>
        <v>NEEDS COVERAGE</v>
      </c>
      <c r="AB3" s="28" t="str">
        <f>IF(ISBLANK(Master!AC3),"",Master!AC3)</f>
        <v/>
      </c>
    </row>
    <row r="4" spans="1:28" x14ac:dyDescent="0.4">
      <c r="A4" s="28" t="str">
        <f>IF(ISBLANK(Master!A4),"",Master!A4)</f>
        <v>Sun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/>
      </c>
      <c r="F4" s="28" t="str">
        <f>IF(ISBLANK(Master!F4),"",Master!F4)</f>
        <v/>
      </c>
      <c r="G4" s="28" t="str">
        <f>IF(ISBLANK(Master!G4),"",Master!G4)</f>
        <v>SHY</v>
      </c>
      <c r="H4" s="28" t="str">
        <f>IF(ISBLANK(Master!H4),"",Master!H4)</f>
        <v>x</v>
      </c>
      <c r="I4" s="28" t="str">
        <f>IF(ISBLANK(Master!I4),"",Master!I4)</f>
        <v>CHP Sr.</v>
      </c>
      <c r="J4" s="28" t="str">
        <f>IF(ISBLANK(Master!J4),"",Master!J4)</f>
        <v/>
      </c>
      <c r="K4" s="28" t="str">
        <f>IF(ISBLANK(Master!K4),"",Master!K4)</f>
        <v/>
      </c>
      <c r="L4" s="28" t="str">
        <f>IF(ISBLANK(Master!L4),"",Master!L4)</f>
        <v/>
      </c>
      <c r="M4" s="28" t="str">
        <f>IF(ISBLANK(Master!M4),"",Master!M4)</f>
        <v/>
      </c>
      <c r="N4" s="28" t="str">
        <f>IF(ISBLANK(Master!N4),"",Master!N4)</f>
        <v/>
      </c>
      <c r="O4" s="28" t="str">
        <f>IF(ISBLANK(Master!O4),"",Master!O4)</f>
        <v>x</v>
      </c>
      <c r="P4" s="28" t="str">
        <f>IF(ISBLANK(Master!P4),"",Master!P4)</f>
        <v/>
      </c>
      <c r="Q4" s="28" t="str">
        <f>IF(ISBLANK(Master!Q4),"",Master!Q4)</f>
        <v/>
      </c>
      <c r="R4" s="28" t="str">
        <f>IF(ISBLANK(Master!R4),"",Master!R4)</f>
        <v>x</v>
      </c>
      <c r="S4" s="28" t="str">
        <f>IF(ISBLANK(Master!S4),"",Master!S4)</f>
        <v>x</v>
      </c>
      <c r="T4" s="28" t="str">
        <f>IF(ISBLANK(Master!T4),"",Master!T4)</f>
        <v>x</v>
      </c>
      <c r="U4" s="28" t="str">
        <f>IF(ISBLANK(Master!U4),"",Master!U4)</f>
        <v>x</v>
      </c>
      <c r="W4" s="28" t="str">
        <f>IF(ISBLANK(Master!X4),"",Master!X4)</f>
        <v/>
      </c>
      <c r="X4" s="28" t="str">
        <f>IF(ISBLANK(Master!Y4),"",Master!Y4)</f>
        <v>Handzel</v>
      </c>
      <c r="Y4" s="28" t="str">
        <f>IF(ISBLANK(Master!Z4),"",Master!Z4)</f>
        <v>Okolo</v>
      </c>
      <c r="Z4" s="28" t="str">
        <f>IF(ISBLANK(Master!AA4),"",Master!AA4)</f>
        <v/>
      </c>
      <c r="AA4" s="28" t="str">
        <f>IF(ISBLANK(Master!AB4),"",Master!AB4)</f>
        <v>NEEDS COVERAGE</v>
      </c>
      <c r="AB4" s="28" t="str">
        <f>IF(ISBLANK(Master!AC4),"",Master!AC4)</f>
        <v/>
      </c>
    </row>
    <row r="5" spans="1:28" x14ac:dyDescent="0.4">
      <c r="A5" s="28" t="str">
        <f>IF(ISBLANK(Master!A5),"",Master!A5)</f>
        <v>Mon</v>
      </c>
      <c r="B5" s="28">
        <f>IF(ISBLANK(Master!B5),"",Master!B5)</f>
        <v>4</v>
      </c>
      <c r="C5" s="28" t="str">
        <f>IF(ISBLANK(Master!C5),"",Master!C5)</f>
        <v/>
      </c>
      <c r="D5" s="28" t="str">
        <f>IF(ISBLANK(Master!D5),"",Master!D5)</f>
        <v/>
      </c>
      <c r="E5" s="28" t="str">
        <f>IF(ISBLANK(Master!E5),"",Master!E5)</f>
        <v>CHP Sr.</v>
      </c>
      <c r="F5" s="28" t="str">
        <f>IF(ISBLANK(Master!F5),"",Master!F5)</f>
        <v>CT</v>
      </c>
      <c r="G5" s="28" t="str">
        <f>IF(ISBLANK(Master!G5),"",Master!G5)</f>
        <v>x</v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>SHY</v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/>
      </c>
      <c r="Q5" s="28" t="str">
        <f>IF(ISBLANK(Master!Q5),"",Master!Q5)</f>
        <v/>
      </c>
      <c r="R5" s="28" t="str">
        <f>IF(ISBLANK(Master!R5),"",Master!R5)</f>
        <v>x</v>
      </c>
      <c r="S5" s="28" t="str">
        <f>IF(ISBLANK(Master!S5),"",Master!S5)</f>
        <v>x</v>
      </c>
      <c r="T5" s="28" t="str">
        <f>IF(ISBLANK(Master!T5),"",Master!T5)</f>
        <v>x</v>
      </c>
      <c r="U5" s="28" t="str">
        <f>IF(ISBLANK(Master!U5),"",Master!U5)</f>
        <v>x</v>
      </c>
      <c r="W5" s="28" t="str">
        <f>IF(ISBLANK(Master!X5),"",Master!X5)</f>
        <v/>
      </c>
      <c r="X5" s="28" t="str">
        <f>IF(ISBLANK(Master!Y5),"",Master!Y5)</f>
        <v>Dadashzadeh</v>
      </c>
      <c r="Y5" s="28" t="str">
        <f>IF(ISBLANK(Master!Z5),"",Master!Z5)</f>
        <v>Yeh</v>
      </c>
      <c r="Z5" s="28" t="str">
        <f>IF(ISBLANK(Master!AA5),"",Master!AA5)</f>
        <v/>
      </c>
      <c r="AA5" s="28" t="str">
        <f>IF(ISBLANK(Master!AB5),"",Master!AB5)</f>
        <v>Griepentrog</v>
      </c>
      <c r="AB5" s="28" t="str">
        <f>IF(ISBLANK(Master!AC5),"",Master!AC5)</f>
        <v/>
      </c>
    </row>
    <row r="6" spans="1:28" x14ac:dyDescent="0.4">
      <c r="A6" s="28" t="str">
        <f>IF(ISBLANK(Master!A6),"",Master!A6)</f>
        <v>Tue</v>
      </c>
      <c r="B6" s="28">
        <f>IF(ISBLANK(Master!B6),"",Master!B6)</f>
        <v>5</v>
      </c>
      <c r="C6" s="28" t="str">
        <f>IF(ISBLANK(Master!C6),"",Master!C6)</f>
        <v/>
      </c>
      <c r="D6" s="28" t="str">
        <f>IF(ISBLANK(Master!D6),"",Master!D6)</f>
        <v>Trauma</v>
      </c>
      <c r="E6" s="28" t="str">
        <f>IF(ISBLANK(Master!E6),"",Master!E6)</f>
        <v>x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>CT</v>
      </c>
      <c r="J6" s="28" t="str">
        <f>IF(ISBLANK(Master!J6),"",Master!J6)</f>
        <v/>
      </c>
      <c r="K6" s="28" t="str">
        <f>IF(ISBLANK(Master!K6),"",Master!K6)</f>
        <v/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SHY</v>
      </c>
      <c r="O6" s="28" t="str">
        <f>IF(ISBLANK(Master!O6),"",Master!O6)</f>
        <v>x</v>
      </c>
      <c r="P6" s="28" t="str">
        <f>IF(ISBLANK(Master!P6),"",Master!P6)</f>
        <v/>
      </c>
      <c r="Q6" s="28" t="str">
        <f>IF(ISBLANK(Master!Q6),"",Master!Q6)</f>
        <v/>
      </c>
      <c r="R6" s="28" t="str">
        <f>IF(ISBLANK(Master!R6),"",Master!R6)</f>
        <v>x</v>
      </c>
      <c r="S6" s="28" t="str">
        <f>IF(ISBLANK(Master!S6),"",Master!S6)</f>
        <v>x</v>
      </c>
      <c r="T6" s="28" t="str">
        <f>IF(ISBLANK(Master!T6),"",Master!T6)</f>
        <v>x</v>
      </c>
      <c r="U6" s="28" t="str">
        <f>IF(ISBLANK(Master!U6),"",Master!U6)</f>
        <v>x</v>
      </c>
      <c r="W6" s="28" t="str">
        <f>IF(ISBLANK(Master!X6),"",Master!X6)</f>
        <v>Van Der Windt</v>
      </c>
      <c r="X6" s="28" t="str">
        <f>IF(ISBLANK(Master!Y6),"",Master!Y6)</f>
        <v>Gallagher</v>
      </c>
      <c r="Y6" s="28" t="str">
        <f>IF(ISBLANK(Master!Z6),"",Master!Z6)</f>
        <v/>
      </c>
      <c r="Z6" s="28" t="str">
        <f>IF(ISBLANK(Master!AA6),"",Master!AA6)</f>
        <v/>
      </c>
      <c r="AA6" s="28" t="str">
        <f>IF(ISBLANK(Master!AB6),"",Master!AB6)</f>
        <v>Okolo</v>
      </c>
      <c r="AB6" s="28" t="str">
        <f>IF(ISBLANK(Master!AC6),"",Master!AC6)</f>
        <v/>
      </c>
    </row>
    <row r="7" spans="1:28" x14ac:dyDescent="0.4">
      <c r="A7" s="28" t="str">
        <f>IF(ISBLANK(Master!A7),"",Master!A7)</f>
        <v>Wed</v>
      </c>
      <c r="B7" s="28">
        <f>IF(ISBLANK(Master!B7),"",Master!B7)</f>
        <v>6</v>
      </c>
      <c r="C7" s="28" t="str">
        <f>IF(ISBLANK(Master!C7),"",Master!C7)</f>
        <v>x</v>
      </c>
      <c r="D7" s="28" t="str">
        <f>IF(ISBLANK(Master!D7),"",Master!D7)</f>
        <v>x</v>
      </c>
      <c r="E7" s="28" t="str">
        <f>IF(ISBLANK(Master!E7),"",Master!E7)</f>
        <v/>
      </c>
      <c r="F7" s="28" t="str">
        <f>IF(ISBLANK(Master!F7),"",Master!F7)</f>
        <v>x</v>
      </c>
      <c r="G7" s="28" t="str">
        <f>IF(ISBLANK(Master!G7),"",Master!G7)</f>
        <v>x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CT</v>
      </c>
      <c r="L7" s="28" t="str">
        <f>IF(ISBLANK(Master!L7),"",Master!L7)</f>
        <v/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>SHY</v>
      </c>
      <c r="P7" s="28" t="str">
        <f>IF(ISBLANK(Master!P7),"",Master!P7)</f>
        <v/>
      </c>
      <c r="Q7" s="28" t="str">
        <f>IF(ISBLANK(Master!Q7),"",Master!Q7)</f>
        <v/>
      </c>
      <c r="R7" s="28" t="str">
        <f>IF(ISBLANK(Master!R7),"",Master!R7)</f>
        <v>x</v>
      </c>
      <c r="S7" s="28" t="str">
        <f>IF(ISBLANK(Master!S7),"",Master!S7)</f>
        <v>x</v>
      </c>
      <c r="T7" s="28" t="str">
        <f>IF(ISBLANK(Master!T7),"",Master!T7)</f>
        <v>x</v>
      </c>
      <c r="U7" s="28" t="str">
        <f>IF(ISBLANK(Master!U7),"",Master!U7)</f>
        <v>x</v>
      </c>
      <c r="W7" s="28" t="str">
        <f>IF(ISBLANK(Master!X7),"",Master!X7)</f>
        <v>Siow</v>
      </c>
      <c r="X7" s="28" t="str">
        <f>IF(ISBLANK(Master!Y7),"",Master!Y7)</f>
        <v>Huckaby</v>
      </c>
      <c r="Y7" s="28" t="str">
        <f>IF(ISBLANK(Master!Z7),"",Master!Z7)</f>
        <v>Okolo</v>
      </c>
      <c r="Z7" s="28" t="str">
        <f>IF(ISBLANK(Master!AA7),"",Master!AA7)</f>
        <v/>
      </c>
      <c r="AA7" s="28" t="str">
        <f>IF(ISBLANK(Master!AB7),"",Master!AB7)</f>
        <v>Tam</v>
      </c>
      <c r="AB7" s="28" t="str">
        <f>IF(ISBLANK(Master!AC7),"",Master!AC7)</f>
        <v/>
      </c>
    </row>
    <row r="8" spans="1:28" x14ac:dyDescent="0.4">
      <c r="A8" s="28" t="str">
        <f>IF(ISBLANK(Master!A8),"",Master!A8)</f>
        <v>Thu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>x</v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>CT</v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/>
      </c>
      <c r="M8" s="28" t="str">
        <f>IF(ISBLANK(Master!M8),"",Master!M8)</f>
        <v>SHY</v>
      </c>
      <c r="N8" s="28" t="str">
        <f>IF(ISBLANK(Master!N8),"",Master!N8)</f>
        <v/>
      </c>
      <c r="O8" s="28" t="str">
        <f>IF(ISBLANK(Master!O8),"",Master!O8)</f>
        <v/>
      </c>
      <c r="P8" s="28" t="str">
        <f>IF(ISBLANK(Master!P8),"",Master!P8)</f>
        <v/>
      </c>
      <c r="Q8" s="28" t="str">
        <f>IF(ISBLANK(Master!Q8),"",Master!Q8)</f>
        <v/>
      </c>
      <c r="R8" s="28" t="str">
        <f>IF(ISBLANK(Master!R8),"",Master!R8)</f>
        <v>x</v>
      </c>
      <c r="S8" s="28" t="str">
        <f>IF(ISBLANK(Master!S8),"",Master!S8)</f>
        <v>x</v>
      </c>
      <c r="T8" s="28" t="str">
        <f>IF(ISBLANK(Master!T8),"",Master!T8)</f>
        <v>x</v>
      </c>
      <c r="U8" s="28" t="str">
        <f>IF(ISBLANK(Master!U8),"",Master!U8)</f>
        <v>x</v>
      </c>
      <c r="W8" s="28" t="str">
        <f>IF(ISBLANK(Master!X8),"",Master!X8)</f>
        <v/>
      </c>
      <c r="X8" s="28" t="str">
        <f>IF(ISBLANK(Master!Y8),"",Master!Y8)</f>
        <v>Dadashzadeh</v>
      </c>
      <c r="Y8" s="28" t="str">
        <f>IF(ISBLANK(Master!Z8),"",Master!Z8)</f>
        <v/>
      </c>
      <c r="Z8" s="28" t="str">
        <f>IF(ISBLANK(Master!AA8),"",Master!AA8)</f>
        <v/>
      </c>
      <c r="AA8" s="28" t="str">
        <f>IF(ISBLANK(Master!AB8),"",Master!AB8)</f>
        <v>Okolo</v>
      </c>
      <c r="AB8" s="28" t="str">
        <f>IF(ISBLANK(Master!AC8),"",Master!AC8)</f>
        <v/>
      </c>
    </row>
    <row r="9" spans="1:28" x14ac:dyDescent="0.4">
      <c r="A9" s="28" t="str">
        <f>IF(ISBLANK(Master!A9),"",Master!A9)</f>
        <v>Fri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CHP Sr.</v>
      </c>
      <c r="E9" s="28" t="str">
        <f>IF(ISBLANK(Master!E9),"",Master!E9)</f>
        <v>x</v>
      </c>
      <c r="F9" s="28" t="str">
        <f>IF(ISBLANK(Master!F9),"",Master!F9)</f>
        <v>x</v>
      </c>
      <c r="G9" s="28" t="str">
        <f>IF(ISBLANK(Master!G9),"",Master!G9)</f>
        <v/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x</v>
      </c>
      <c r="L9" s="28" t="str">
        <f>IF(ISBLANK(Master!L9),"",Master!L9)</f>
        <v/>
      </c>
      <c r="M9" s="28" t="str">
        <f>IF(ISBLANK(Master!M9),"",Master!M9)</f>
        <v>CT</v>
      </c>
      <c r="N9" s="28" t="str">
        <f>IF(ISBLANK(Master!N9),"",Master!N9)</f>
        <v>x</v>
      </c>
      <c r="O9" s="28" t="str">
        <f>IF(ISBLANK(Master!O9),"",Master!O9)</f>
        <v/>
      </c>
      <c r="P9" s="28" t="str">
        <f>IF(ISBLANK(Master!P9),"",Master!P9)</f>
        <v/>
      </c>
      <c r="Q9" s="28" t="str">
        <f>IF(ISBLANK(Master!Q9),"",Master!Q9)</f>
        <v/>
      </c>
      <c r="R9" s="28" t="str">
        <f>IF(ISBLANK(Master!R9),"",Master!R9)</f>
        <v>x</v>
      </c>
      <c r="S9" s="28" t="str">
        <f>IF(ISBLANK(Master!S9),"",Master!S9)</f>
        <v>x</v>
      </c>
      <c r="T9" s="28" t="str">
        <f>IF(ISBLANK(Master!T9),"",Master!T9)</f>
        <v>x</v>
      </c>
      <c r="U9" s="28" t="str">
        <f>IF(ISBLANK(Master!U9),"",Master!U9)</f>
        <v>x</v>
      </c>
      <c r="W9" s="28" t="str">
        <f>IF(ISBLANK(Master!X9),"",Master!X9)</f>
        <v/>
      </c>
      <c r="X9" s="28" t="str">
        <f>IF(ISBLANK(Master!Y9),"",Master!Y9)</f>
        <v/>
      </c>
      <c r="Y9" s="28" t="str">
        <f>IF(ISBLANK(Master!Z9),"",Master!Z9)</f>
        <v>Van Der Windt</v>
      </c>
      <c r="Z9" s="28" t="str">
        <f>IF(ISBLANK(Master!AA9),"",Master!AA9)</f>
        <v/>
      </c>
      <c r="AA9" s="28" t="str">
        <f>IF(ISBLANK(Master!AB9),"",Master!AB9)</f>
        <v>Dadashzadeh</v>
      </c>
      <c r="AB9" s="28" t="str">
        <f>IF(ISBLANK(Master!AC9),"",Master!AC9)</f>
        <v/>
      </c>
    </row>
    <row r="10" spans="1:28" x14ac:dyDescent="0.4">
      <c r="A10" s="28" t="str">
        <f>IF(ISBLANK(Master!A10),"",Master!A10)</f>
        <v>Sat</v>
      </c>
      <c r="B10" s="28">
        <f>IF(ISBLANK(Master!B10),"",Master!B10)</f>
        <v>9</v>
      </c>
      <c r="C10" s="28" t="str">
        <f>IF(ISBLANK(Master!C10),"",Master!C10)</f>
        <v/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/>
      </c>
      <c r="H10" s="28" t="str">
        <f>IF(ISBLANK(Master!H10),"",Master!H10)</f>
        <v/>
      </c>
      <c r="I10" s="28" t="str">
        <f>IF(ISBLANK(Master!I10),"",Master!I10)</f>
        <v>Trauma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/>
      </c>
      <c r="M10" s="28" t="str">
        <f>IF(ISBLANK(Master!M10),"",Master!M10)</f>
        <v/>
      </c>
      <c r="N10" s="28" t="str">
        <f>IF(ISBLANK(Master!N10),"",Master!N10)</f>
        <v>x</v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/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U10" s="28" t="str">
        <f>IF(ISBLANK(Master!U10),"",Master!U10)</f>
        <v>x</v>
      </c>
      <c r="W10" s="28" t="str">
        <f>IF(ISBLANK(Master!X10),"",Master!X10)</f>
        <v>Okolo</v>
      </c>
      <c r="X10" s="28" t="str">
        <f>IF(ISBLANK(Master!Y10),"",Master!Y10)</f>
        <v/>
      </c>
      <c r="Y10" s="28" t="str">
        <f>IF(ISBLANK(Master!Z10),"",Master!Z10)</f>
        <v/>
      </c>
      <c r="Z10" s="28" t="str">
        <f>IF(ISBLANK(Master!AA10),"",Master!AA10)</f>
        <v/>
      </c>
      <c r="AA10" s="28" t="str">
        <f>IF(ISBLANK(Master!AB10),"",Master!AB10)</f>
        <v>NEEDS COVERAGE</v>
      </c>
      <c r="AB10" s="28" t="str">
        <f>IF(ISBLANK(Master!AC10),"",Master!AC10)</f>
        <v/>
      </c>
    </row>
    <row r="11" spans="1:28" x14ac:dyDescent="0.4">
      <c r="A11" s="28" t="str">
        <f>IF(ISBLANK(Master!A11),"",Master!A11)</f>
        <v>Sun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>x</v>
      </c>
      <c r="G11" s="28" t="str">
        <f>IF(ISBLANK(Master!G11),"",Master!G11)</f>
        <v/>
      </c>
      <c r="H11" s="28" t="str">
        <f>IF(ISBLANK(Master!H11),"",Master!H11)</f>
        <v/>
      </c>
      <c r="I11" s="28" t="str">
        <f>IF(ISBLANK(Master!I11),"",Master!I11)</f>
        <v/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>x</v>
      </c>
      <c r="O11" s="28" t="str">
        <f>IF(ISBLANK(Master!O11),"",Master!O11)</f>
        <v>CT</v>
      </c>
      <c r="P11" s="28" t="str">
        <f>IF(ISBLANK(Master!P11),"",Master!P11)</f>
        <v/>
      </c>
      <c r="Q11" s="28" t="str">
        <f>IF(ISBLANK(Master!Q11),"",Master!Q11)</f>
        <v>SHY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U11" s="28" t="str">
        <f>IF(ISBLANK(Master!U11),"",Master!U11)</f>
        <v>x</v>
      </c>
      <c r="W11" s="28" t="str">
        <f>IF(ISBLANK(Master!X11),"",Master!X11)</f>
        <v/>
      </c>
      <c r="X11" s="28" t="str">
        <f>IF(ISBLANK(Master!Y11),"",Master!Y11)</f>
        <v>Myers</v>
      </c>
      <c r="Y11" s="28" t="str">
        <f>IF(ISBLANK(Master!Z11),"",Master!Z11)</f>
        <v/>
      </c>
      <c r="Z11" s="28" t="str">
        <f>IF(ISBLANK(Master!AA11),"",Master!AA11)</f>
        <v/>
      </c>
      <c r="AA11" s="28" t="str">
        <f>IF(ISBLANK(Master!AB11),"",Master!AB11)</f>
        <v>Huckaby</v>
      </c>
      <c r="AB11" s="28" t="str">
        <f>IF(ISBLANK(Master!AC11),"",Master!AC11)</f>
        <v/>
      </c>
    </row>
    <row r="12" spans="1:28" x14ac:dyDescent="0.4">
      <c r="A12" s="28" t="str">
        <f>IF(ISBLANK(Master!A12),"",Master!A12)</f>
        <v>Mon</v>
      </c>
      <c r="B12" s="28">
        <f>IF(ISBLANK(Master!B12),"",Master!B12)</f>
        <v>11</v>
      </c>
      <c r="C12" s="28" t="str">
        <f>IF(ISBLANK(Master!C12),"",Master!C12)</f>
        <v>SHY</v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>x</v>
      </c>
      <c r="G12" s="28" t="str">
        <f>IF(ISBLANK(Master!G12),"",Master!G12)</f>
        <v>x</v>
      </c>
      <c r="H12" s="28" t="str">
        <f>IF(ISBLANK(Master!H12),"",Master!H12)</f>
        <v/>
      </c>
      <c r="I12" s="28" t="str">
        <f>IF(ISBLANK(Master!I12),"",Master!I12)</f>
        <v/>
      </c>
      <c r="J12" s="28" t="str">
        <f>IF(ISBLANK(Master!J12),"",Master!J12)</f>
        <v/>
      </c>
      <c r="K12" s="28" t="str">
        <f>IF(ISBLANK(Master!K12),"",Master!K12)</f>
        <v/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>x</v>
      </c>
      <c r="O12" s="28" t="str">
        <f>IF(ISBLANK(Master!O12),"",Master!O12)</f>
        <v>x</v>
      </c>
      <c r="P12" s="28" t="str">
        <f>IF(ISBLANK(Master!P12),"",Master!P12)</f>
        <v>CT</v>
      </c>
      <c r="Q12" s="28" t="str">
        <f>IF(ISBLANK(Master!Q12),"",Master!Q12)</f>
        <v/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U12" s="28" t="str">
        <f>IF(ISBLANK(Master!U12),"",Master!U12)</f>
        <v>x</v>
      </c>
      <c r="W12" s="28" t="str">
        <f>IF(ISBLANK(Master!X12),"",Master!X12)</f>
        <v/>
      </c>
      <c r="X12" s="28" t="str">
        <f>IF(ISBLANK(Master!Y12),"",Master!Y12)</f>
        <v>Dyer</v>
      </c>
      <c r="Y12" s="28" t="str">
        <f>IF(ISBLANK(Master!Z12),"",Master!Z12)</f>
        <v/>
      </c>
      <c r="Z12" s="28" t="str">
        <f>IF(ISBLANK(Master!AA12),"",Master!AA12)</f>
        <v/>
      </c>
      <c r="AA12" s="28" t="str">
        <f>IF(ISBLANK(Master!AB12),"",Master!AB12)</f>
        <v>Kulkarni</v>
      </c>
      <c r="AB12" s="28" t="str">
        <f>IF(ISBLANK(Master!AC12),"",Master!AC12)</f>
        <v/>
      </c>
    </row>
    <row r="13" spans="1:28" x14ac:dyDescent="0.4">
      <c r="A13" s="28" t="str">
        <f>IF(ISBLANK(Master!A13),"",Master!A13)</f>
        <v>Tue</v>
      </c>
      <c r="B13" s="28">
        <f>IF(ISBLANK(Master!B13),"",Master!B13)</f>
        <v>12</v>
      </c>
      <c r="C13" s="28" t="str">
        <f>IF(ISBLANK(Master!C13),"",Master!C13)</f>
        <v/>
      </c>
      <c r="D13" s="28" t="str">
        <f>IF(ISBLANK(Master!D13),"",Master!D13)</f>
        <v/>
      </c>
      <c r="E13" s="28" t="str">
        <f>IF(ISBLANK(Master!E13),"",Master!E13)</f>
        <v/>
      </c>
      <c r="F13" s="28" t="str">
        <f>IF(ISBLANK(Master!F13),"",Master!F13)</f>
        <v>x</v>
      </c>
      <c r="G13" s="28" t="str">
        <f>IF(ISBLANK(Master!G13),"",Master!G13)</f>
        <v>x</v>
      </c>
      <c r="H13" s="28" t="str">
        <f>IF(ISBLANK(Master!H13),"",Master!H13)</f>
        <v/>
      </c>
      <c r="I13" s="28" t="str">
        <f>IF(ISBLANK(Master!I13),"",Master!I13)</f>
        <v>SHY</v>
      </c>
      <c r="J13" s="28" t="str">
        <f>IF(ISBLANK(Master!J13),"",Master!J13)</f>
        <v/>
      </c>
      <c r="K13" s="28" t="str">
        <f>IF(ISBLANK(Master!K13),"",Master!K13)</f>
        <v/>
      </c>
      <c r="L13" s="28" t="str">
        <f>IF(ISBLANK(Master!L13),"",Master!L13)</f>
        <v/>
      </c>
      <c r="M13" s="28" t="str">
        <f>IF(ISBLANK(Master!M13),"",Master!M13)</f>
        <v/>
      </c>
      <c r="N13" s="28" t="str">
        <f>IF(ISBLANK(Master!N13),"",Master!N13)</f>
        <v>CT</v>
      </c>
      <c r="O13" s="28" t="str">
        <f>IF(ISBLANK(Master!O13),"",Master!O13)</f>
        <v/>
      </c>
      <c r="P13" s="28" t="str">
        <f>IF(ISBLANK(Master!P13),"",Master!P13)</f>
        <v/>
      </c>
      <c r="Q13" s="28" t="str">
        <f>IF(ISBLANK(Master!Q13),"",Master!Q13)</f>
        <v/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U13" s="28" t="str">
        <f>IF(ISBLANK(Master!U13),"",Master!U13)</f>
        <v>x</v>
      </c>
      <c r="W13" s="28" t="str">
        <f>IF(ISBLANK(Master!X13),"",Master!X13)</f>
        <v/>
      </c>
      <c r="X13" s="28" t="str">
        <f>IF(ISBLANK(Master!Y13),"",Master!Y13)</f>
        <v>Okolo</v>
      </c>
      <c r="Y13" s="28" t="str">
        <f>IF(ISBLANK(Master!Z13),"",Master!Z13)</f>
        <v/>
      </c>
      <c r="Z13" s="28" t="str">
        <f>IF(ISBLANK(Master!AA13),"",Master!AA13)</f>
        <v/>
      </c>
      <c r="AA13" s="28" t="str">
        <f>IF(ISBLANK(Master!AB13),"",Master!AB13)</f>
        <v>Gallagher</v>
      </c>
      <c r="AB13" s="28" t="str">
        <f>IF(ISBLANK(Master!AC13),"",Master!AC13)</f>
        <v/>
      </c>
    </row>
    <row r="14" spans="1:28" x14ac:dyDescent="0.4">
      <c r="A14" s="28" t="str">
        <f>IF(ISBLANK(Master!A14),"",Master!A14)</f>
        <v>Wed</v>
      </c>
      <c r="B14" s="28">
        <f>IF(ISBLANK(Master!B14),"",Master!B14)</f>
        <v>13</v>
      </c>
      <c r="C14" s="28" t="str">
        <f>IF(ISBLANK(Master!C14),"",Master!C14)</f>
        <v/>
      </c>
      <c r="D14" s="28" t="str">
        <f>IF(ISBLANK(Master!D14),"",Master!D14)</f>
        <v>x</v>
      </c>
      <c r="E14" s="28" t="str">
        <f>IF(ISBLANK(Master!E14),"",Master!E14)</f>
        <v>Trauma</v>
      </c>
      <c r="F14" s="28" t="str">
        <f>IF(ISBLANK(Master!F14),"",Master!F14)</f>
        <v>SHY</v>
      </c>
      <c r="G14" s="28" t="str">
        <f>IF(ISBLANK(Master!G14),"",Master!G14)</f>
        <v>x</v>
      </c>
      <c r="H14" s="28" t="str">
        <f>IF(ISBLANK(Master!H14),"",Master!H14)</f>
        <v/>
      </c>
      <c r="I14" s="28" t="str">
        <f>IF(ISBLANK(Master!I14),"",Master!I14)</f>
        <v/>
      </c>
      <c r="J14" s="28" t="str">
        <f>IF(ISBLANK(Master!J14),"",Master!J14)</f>
        <v/>
      </c>
      <c r="K14" s="28" t="str">
        <f>IF(ISBLANK(Master!K14),"",Master!K14)</f>
        <v/>
      </c>
      <c r="L14" s="28" t="str">
        <f>IF(ISBLANK(Master!L14),"",Master!L14)</f>
        <v/>
      </c>
      <c r="M14" s="28" t="str">
        <f>IF(ISBLANK(Master!M14),"",Master!M14)</f>
        <v>CT</v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x</v>
      </c>
      <c r="S14" s="28" t="str">
        <f>IF(ISBLANK(Master!S14),"",Master!S14)</f>
        <v>x</v>
      </c>
      <c r="T14" s="28" t="str">
        <f>IF(ISBLANK(Master!T14),"",Master!T14)</f>
        <v>x</v>
      </c>
      <c r="U14" s="28" t="str">
        <f>IF(ISBLANK(Master!U14),"",Master!U14)</f>
        <v>x</v>
      </c>
      <c r="W14" s="28" t="str">
        <f>IF(ISBLANK(Master!X14),"",Master!X14)</f>
        <v>Yeh</v>
      </c>
      <c r="X14" s="28" t="str">
        <f>IF(ISBLANK(Master!Y14),"",Master!Y14)</f>
        <v>Griepentrog</v>
      </c>
      <c r="Y14" s="28" t="str">
        <f>IF(ISBLANK(Master!Z14),"",Master!Z14)</f>
        <v/>
      </c>
      <c r="Z14" s="28" t="str">
        <f>IF(ISBLANK(Master!AA14),"",Master!AA14)</f>
        <v/>
      </c>
      <c r="AA14" s="28" t="str">
        <f>IF(ISBLANK(Master!AB14),"",Master!AB14)</f>
        <v>Dadashzadeh</v>
      </c>
      <c r="AB14" s="28" t="str">
        <f>IF(ISBLANK(Master!AC14),"",Master!AC14)</f>
        <v/>
      </c>
    </row>
    <row r="15" spans="1:28" x14ac:dyDescent="0.4">
      <c r="A15" s="28" t="str">
        <f>IF(ISBLANK(Master!A15),"",Master!A15)</f>
        <v>Thu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/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I15" s="28" t="str">
        <f>IF(ISBLANK(Master!I15),"",Master!I15)</f>
        <v>x</v>
      </c>
      <c r="J15" s="28" t="str">
        <f>IF(ISBLANK(Master!J15),"",Master!J15)</f>
        <v>x</v>
      </c>
      <c r="K15" s="28" t="str">
        <f>IF(ISBLANK(Master!K15),"",Master!K15)</f>
        <v>x</v>
      </c>
      <c r="L15" s="28" t="str">
        <f>IF(ISBLANK(Master!L15),"",Master!L15)</f>
        <v/>
      </c>
      <c r="M15" s="28" t="str">
        <f>IF(ISBLANK(Master!M15),"",Master!M15)</f>
        <v>x</v>
      </c>
      <c r="N15" s="28" t="str">
        <f>IF(ISBLANK(Master!N15),"",Master!N15)</f>
        <v>x</v>
      </c>
      <c r="O15" s="28" t="str">
        <f>IF(ISBLANK(Master!O15),"",Master!O15)</f>
        <v/>
      </c>
      <c r="P15" s="28" t="str">
        <f>IF(ISBLANK(Master!P15),"",Master!P15)</f>
        <v>SHY</v>
      </c>
      <c r="Q15" s="28" t="str">
        <f>IF(ISBLANK(Master!Q15),"",Master!Q15)</f>
        <v>CT</v>
      </c>
      <c r="R15" s="28" t="str">
        <f>IF(ISBLANK(Master!R15),"",Master!R15)</f>
        <v>x</v>
      </c>
      <c r="S15" s="28" t="str">
        <f>IF(ISBLANK(Master!S15),"",Master!S15)</f>
        <v>x</v>
      </c>
      <c r="T15" s="28" t="str">
        <f>IF(ISBLANK(Master!T15),"",Master!T15)</f>
        <v>x</v>
      </c>
      <c r="U15" s="28" t="str">
        <f>IF(ISBLANK(Master!U15),"",Master!U15)</f>
        <v>x</v>
      </c>
      <c r="W15" s="28" t="str">
        <f>IF(ISBLANK(Master!X15),"",Master!X15)</f>
        <v/>
      </c>
      <c r="X15" s="28" t="str">
        <f>IF(ISBLANK(Master!Y15),"",Master!Y15)</f>
        <v>Kulkarni</v>
      </c>
      <c r="Y15" s="28" t="str">
        <f>IF(ISBLANK(Master!Z15),"",Master!Z15)</f>
        <v/>
      </c>
      <c r="Z15" s="28" t="str">
        <f>IF(ISBLANK(Master!AA15),"",Master!AA15)</f>
        <v/>
      </c>
      <c r="AA15" s="28" t="str">
        <f>IF(ISBLANK(Master!AB15),"",Master!AB15)</f>
        <v>Myers</v>
      </c>
      <c r="AB15" s="28" t="str">
        <f>IF(ISBLANK(Master!AC15),"",Master!AC15)</f>
        <v/>
      </c>
    </row>
    <row r="16" spans="1:28" x14ac:dyDescent="0.4">
      <c r="A16" s="28" t="str">
        <f>IF(ISBLANK(Master!A16),"",Master!A16)</f>
        <v>Fri</v>
      </c>
      <c r="B16" s="28">
        <f>IF(ISBLANK(Master!B16),"",Master!B16)</f>
        <v>15</v>
      </c>
      <c r="C16" s="28" t="str">
        <f>IF(ISBLANK(Master!C16),"",Master!C16)</f>
        <v/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>x</v>
      </c>
      <c r="G16" s="28" t="str">
        <f>IF(ISBLANK(Master!G16),"",Master!G16)</f>
        <v>x</v>
      </c>
      <c r="H16" s="28" t="str">
        <f>IF(ISBLANK(Master!H16),"",Master!H16)</f>
        <v/>
      </c>
      <c r="I16" s="28" t="str">
        <f>IF(ISBLANK(Master!I16),"",Master!I16)</f>
        <v>x</v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Trauma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/>
      </c>
      <c r="R16" s="28" t="str">
        <f>IF(ISBLANK(Master!R16),"",Master!R16)</f>
        <v>x</v>
      </c>
      <c r="S16" s="28" t="str">
        <f>IF(ISBLANK(Master!S16),"",Master!S16)</f>
        <v>x</v>
      </c>
      <c r="T16" s="28" t="str">
        <f>IF(ISBLANK(Master!T16),"",Master!T16)</f>
        <v>x</v>
      </c>
      <c r="U16" s="28" t="str">
        <f>IF(ISBLANK(Master!U16),"",Master!U16)</f>
        <v>x</v>
      </c>
      <c r="W16" s="28" t="str">
        <f>IF(ISBLANK(Master!X16),"",Master!X16)</f>
        <v>Gallagher</v>
      </c>
      <c r="X16" s="28" t="str">
        <f>IF(ISBLANK(Master!Y16),"",Master!Y16)</f>
        <v/>
      </c>
      <c r="Y16" s="28" t="str">
        <f>IF(ISBLANK(Master!Z16),"",Master!Z16)</f>
        <v/>
      </c>
      <c r="Z16" s="28" t="str">
        <f>IF(ISBLANK(Master!AA16),"",Master!AA16)</f>
        <v/>
      </c>
      <c r="AA16" s="28" t="str">
        <f>IF(ISBLANK(Master!AB16),"",Master!AB16)</f>
        <v>Cyr</v>
      </c>
      <c r="AB16" s="28" t="str">
        <f>IF(ISBLANK(Master!AC16),"",Master!AC16)</f>
        <v/>
      </c>
    </row>
    <row r="17" spans="1:28" x14ac:dyDescent="0.4">
      <c r="A17" s="28" t="str">
        <f>IF(ISBLANK(Master!A17),"",Master!A17)</f>
        <v>Sat</v>
      </c>
      <c r="B17" s="28">
        <f>IF(ISBLANK(Master!B17),"",Master!B17)</f>
        <v>16</v>
      </c>
      <c r="C17" s="28" t="str">
        <f>IF(ISBLANK(Master!C17),"",Master!C17)</f>
        <v/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x</v>
      </c>
      <c r="G17" s="28" t="str">
        <f>IF(ISBLANK(Master!G17),"",Master!G17)</f>
        <v>x</v>
      </c>
      <c r="H17" s="28" t="str">
        <f>IF(ISBLANK(Master!H17),"",Master!H17)</f>
        <v>Trauma</v>
      </c>
      <c r="I17" s="28" t="str">
        <f>IF(ISBLANK(Master!I17),"",Master!I17)</f>
        <v>x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/>
      </c>
      <c r="M17" s="28" t="str">
        <f>IF(ISBLANK(Master!M17),"",Master!M17)</f>
        <v>x</v>
      </c>
      <c r="N17" s="28" t="str">
        <f>IF(ISBLANK(Master!N17),"",Master!N17)</f>
        <v/>
      </c>
      <c r="O17" s="28" t="str">
        <f>IF(ISBLANK(Master!O17),"",Master!O17)</f>
        <v>x</v>
      </c>
      <c r="P17" s="28" t="str">
        <f>IF(ISBLANK(Master!P17),"",Master!P17)</f>
        <v/>
      </c>
      <c r="Q17" s="28" t="str">
        <f>IF(ISBLANK(Master!Q17),"",Master!Q17)</f>
        <v/>
      </c>
      <c r="R17" s="28" t="str">
        <f>IF(ISBLANK(Master!R17),"",Master!R17)</f>
        <v>x</v>
      </c>
      <c r="S17" s="28" t="str">
        <f>IF(ISBLANK(Master!S17),"",Master!S17)</f>
        <v>x</v>
      </c>
      <c r="T17" s="28" t="str">
        <f>IF(ISBLANK(Master!T17),"",Master!T17)</f>
        <v>x</v>
      </c>
      <c r="U17" s="28" t="str">
        <f>IF(ISBLANK(Master!U17),"",Master!U17)</f>
        <v>x</v>
      </c>
      <c r="W17" s="28" t="str">
        <f>IF(ISBLANK(Master!X17),"",Master!X17)</f>
        <v>Hill (Kirk)</v>
      </c>
      <c r="X17" s="28" t="str">
        <f>IF(ISBLANK(Master!Y17),"",Master!Y17)</f>
        <v/>
      </c>
      <c r="Y17" s="28" t="str">
        <f>IF(ISBLANK(Master!Z17),"",Master!Z17)</f>
        <v/>
      </c>
      <c r="Z17" s="28" t="str">
        <f>IF(ISBLANK(Master!AA17),"",Master!AA17)</f>
        <v/>
      </c>
      <c r="AA17" s="28" t="str">
        <f>IF(ISBLANK(Master!AB17),"",Master!AB17)</f>
        <v>NEEDS COVERAGE</v>
      </c>
      <c r="AB17" s="28" t="str">
        <f>IF(ISBLANK(Master!AC17),"",Master!AC17)</f>
        <v/>
      </c>
    </row>
    <row r="18" spans="1:28" x14ac:dyDescent="0.4">
      <c r="A18" s="28" t="str">
        <f>IF(ISBLANK(Master!A18),"",Master!A18)</f>
        <v>Sun</v>
      </c>
      <c r="B18" s="28">
        <f>IF(ISBLANK(Master!B18),"",Master!B18)</f>
        <v>17</v>
      </c>
      <c r="C18" s="28" t="str">
        <f>IF(ISBLANK(Master!C18),"",Master!C18)</f>
        <v/>
      </c>
      <c r="D18" s="28" t="str">
        <f>IF(ISBLANK(Master!D18),"",Master!D18)</f>
        <v>SHY</v>
      </c>
      <c r="E18" s="28" t="str">
        <f>IF(ISBLANK(Master!E18),"",Master!E18)</f>
        <v>x</v>
      </c>
      <c r="F18" s="28" t="str">
        <f>IF(ISBLANK(Master!F18),"",Master!F18)</f>
        <v>x</v>
      </c>
      <c r="G18" s="28" t="str">
        <f>IF(ISBLANK(Master!G18),"",Master!G18)</f>
        <v/>
      </c>
      <c r="H18" s="28" t="str">
        <f>IF(ISBLANK(Master!H18),"",Master!H18)</f>
        <v/>
      </c>
      <c r="I18" s="28" t="str">
        <f>IF(ISBLANK(Master!I18),"",Master!I18)</f>
        <v>x</v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/>
      </c>
      <c r="M18" s="28" t="str">
        <f>IF(ISBLANK(Master!M18),"",Master!M18)</f>
        <v>x</v>
      </c>
      <c r="N18" s="28" t="str">
        <f>IF(ISBLANK(Master!N18),"",Master!N18)</f>
        <v/>
      </c>
      <c r="O18" s="28" t="str">
        <f>IF(ISBLANK(Master!O18),"",Master!O18)</f>
        <v>CT</v>
      </c>
      <c r="P18" s="28" t="str">
        <f>IF(ISBLANK(Master!P18),"",Master!P18)</f>
        <v/>
      </c>
      <c r="Q18" s="28" t="str">
        <f>IF(ISBLANK(Master!Q18),"",Master!Q18)</f>
        <v/>
      </c>
      <c r="R18" s="28" t="str">
        <f>IF(ISBLANK(Master!R18),"",Master!R18)</f>
        <v>x</v>
      </c>
      <c r="S18" s="28" t="str">
        <f>IF(ISBLANK(Master!S18),"",Master!S18)</f>
        <v>x</v>
      </c>
      <c r="T18" s="28" t="str">
        <f>IF(ISBLANK(Master!T18),"",Master!T18)</f>
        <v>x</v>
      </c>
      <c r="U18" s="28" t="str">
        <f>IF(ISBLANK(Master!U18),"",Master!U18)</f>
        <v>x</v>
      </c>
      <c r="W18" s="28" t="str">
        <f>IF(ISBLANK(Master!X18),"",Master!X18)</f>
        <v/>
      </c>
      <c r="X18" s="28" t="str">
        <f>IF(ISBLANK(Master!Y18),"",Master!Y18)</f>
        <v>Van Der Windt</v>
      </c>
      <c r="Y18" s="28" t="str">
        <f>IF(ISBLANK(Master!Z18),"",Master!Z18)</f>
        <v/>
      </c>
      <c r="Z18" s="28" t="str">
        <f>IF(ISBLANK(Master!AA18),"",Master!AA18)</f>
        <v/>
      </c>
      <c r="AA18" s="28" t="str">
        <f>IF(ISBLANK(Master!AB18),"",Master!AB18)</f>
        <v>Huckaby</v>
      </c>
      <c r="AB18" s="28" t="str">
        <f>IF(ISBLANK(Master!AC18),"",Master!AC18)</f>
        <v/>
      </c>
    </row>
    <row r="19" spans="1:28" x14ac:dyDescent="0.4">
      <c r="A19" s="28" t="str">
        <f>IF(ISBLANK(Master!A19),"",Master!A19)</f>
        <v>Mon</v>
      </c>
      <c r="B19" s="28">
        <f>IF(ISBLANK(Master!B19),"",Master!B19)</f>
        <v>18</v>
      </c>
      <c r="C19" s="28" t="str">
        <f>IF(ISBLANK(Master!C19),"",Master!C19)</f>
        <v/>
      </c>
      <c r="D19" s="28" t="str">
        <f>IF(ISBLANK(Master!D19),"",Master!D19)</f>
        <v/>
      </c>
      <c r="E19" s="28" t="str">
        <f>IF(ISBLANK(Master!E19),"",Master!E19)</f>
        <v/>
      </c>
      <c r="F19" s="28" t="str">
        <f>IF(ISBLANK(Master!F19),"",Master!F19)</f>
        <v/>
      </c>
      <c r="G19" s="28" t="str">
        <f>IF(ISBLANK(Master!G19),"",Master!G19)</f>
        <v>CT</v>
      </c>
      <c r="H19" s="28" t="str">
        <f>IF(ISBLANK(Master!H19),"",Master!H19)</f>
        <v/>
      </c>
      <c r="I19" s="28" t="str">
        <f>IF(ISBLANK(Master!I19),"",Master!I19)</f>
        <v>x</v>
      </c>
      <c r="J19" s="28" t="str">
        <f>IF(ISBLANK(Master!J19),"",Master!J19)</f>
        <v>x</v>
      </c>
      <c r="K19" s="28" t="str">
        <f>IF(ISBLANK(Master!K19),"",Master!K19)</f>
        <v>SHY</v>
      </c>
      <c r="L19" s="28" t="str">
        <f>IF(ISBLANK(Master!L19),"",Master!L19)</f>
        <v/>
      </c>
      <c r="M19" s="28" t="str">
        <f>IF(ISBLANK(Master!M19),"",Master!M19)</f>
        <v>x</v>
      </c>
      <c r="N19" s="28" t="str">
        <f>IF(ISBLANK(Master!N19),"",Master!N19)</f>
        <v/>
      </c>
      <c r="O19" s="28" t="str">
        <f>IF(ISBLANK(Master!O19),"",Master!O19)</f>
        <v>x</v>
      </c>
      <c r="P19" s="28" t="str">
        <f>IF(ISBLANK(Master!P19),"",Master!P19)</f>
        <v/>
      </c>
      <c r="Q19" s="28" t="str">
        <f>IF(ISBLANK(Master!Q19),"",Master!Q19)</f>
        <v/>
      </c>
      <c r="R19" s="28" t="str">
        <f>IF(ISBLANK(Master!R19),"",Master!R19)</f>
        <v>x</v>
      </c>
      <c r="S19" s="28" t="str">
        <f>IF(ISBLANK(Master!S19),"",Master!S19)</f>
        <v>x</v>
      </c>
      <c r="T19" s="28" t="str">
        <f>IF(ISBLANK(Master!T19),"",Master!T19)</f>
        <v>x</v>
      </c>
      <c r="U19" s="28" t="str">
        <f>IF(ISBLANK(Master!U19),"",Master!U19)</f>
        <v>x</v>
      </c>
      <c r="W19" s="28" t="str">
        <f>IF(ISBLANK(Master!X19),"",Master!X19)</f>
        <v/>
      </c>
      <c r="X19" s="28" t="str">
        <f>IF(ISBLANK(Master!Y19),"",Master!Y19)</f>
        <v>Tam</v>
      </c>
      <c r="Y19" s="28" t="str">
        <f>IF(ISBLANK(Master!Z19),"",Master!Z19)</f>
        <v/>
      </c>
      <c r="Z19" s="28" t="str">
        <f>IF(ISBLANK(Master!AA19),"",Master!AA19)</f>
        <v/>
      </c>
      <c r="AA19" s="28" t="str">
        <f>IF(ISBLANK(Master!AB19),"",Master!AB19)</f>
        <v>Handzel</v>
      </c>
      <c r="AB19" s="28" t="str">
        <f>IF(ISBLANK(Master!AC19),"",Master!AC19)</f>
        <v/>
      </c>
    </row>
    <row r="20" spans="1:28" x14ac:dyDescent="0.4">
      <c r="A20" s="28" t="str">
        <f>IF(ISBLANK(Master!A20),"",Master!A20)</f>
        <v>Tue</v>
      </c>
      <c r="B20" s="28">
        <f>IF(ISBLANK(Master!B20),"",Master!B20)</f>
        <v>19</v>
      </c>
      <c r="C20" s="28" t="str">
        <f>IF(ISBLANK(Master!C20),"",Master!C20)</f>
        <v/>
      </c>
      <c r="D20" s="28" t="str">
        <f>IF(ISBLANK(Master!D20),"",Master!D20)</f>
        <v/>
      </c>
      <c r="E20" s="28" t="str">
        <f>IF(ISBLANK(Master!E20),"",Master!E20)</f>
        <v>SHY</v>
      </c>
      <c r="F20" s="28" t="str">
        <f>IF(ISBLANK(Master!F20),"",Master!F20)</f>
        <v/>
      </c>
      <c r="G20" s="28" t="str">
        <f>IF(ISBLANK(Master!G20),"",Master!G20)</f>
        <v/>
      </c>
      <c r="H20" s="28" t="str">
        <f>IF(ISBLANK(Master!H20),"",Master!H20)</f>
        <v/>
      </c>
      <c r="I20" s="28" t="str">
        <f>IF(ISBLANK(Master!I20),"",Master!I20)</f>
        <v>x</v>
      </c>
      <c r="J20" s="28" t="str">
        <f>IF(ISBLANK(Master!J20),"",Master!J20)</f>
        <v/>
      </c>
      <c r="K20" s="28" t="str">
        <f>IF(ISBLANK(Master!K20),"",Master!K20)</f>
        <v/>
      </c>
      <c r="L20" s="28" t="str">
        <f>IF(ISBLANK(Master!L20),"",Master!L20)</f>
        <v/>
      </c>
      <c r="M20" s="28" t="str">
        <f>IF(ISBLANK(Master!M20),"",Master!M20)</f>
        <v>x</v>
      </c>
      <c r="N20" s="28" t="str">
        <f>IF(ISBLANK(Master!N20),"",Master!N20)</f>
        <v>CT</v>
      </c>
      <c r="O20" s="28" t="str">
        <f>IF(ISBLANK(Master!O20),"",Master!O20)</f>
        <v/>
      </c>
      <c r="P20" s="28" t="str">
        <f>IF(ISBLANK(Master!P20),"",Master!P20)</f>
        <v>Trauma</v>
      </c>
      <c r="Q20" s="28" t="str">
        <f>IF(ISBLANK(Master!Q20),"",Master!Q20)</f>
        <v/>
      </c>
      <c r="R20" s="28" t="str">
        <f>IF(ISBLANK(Master!R20),"",Master!R20)</f>
        <v>x</v>
      </c>
      <c r="S20" s="28" t="str">
        <f>IF(ISBLANK(Master!S20),"",Master!S20)</f>
        <v>x</v>
      </c>
      <c r="T20" s="28" t="str">
        <f>IF(ISBLANK(Master!T20),"",Master!T20)</f>
        <v>x</v>
      </c>
      <c r="U20" s="28" t="str">
        <f>IF(ISBLANK(Master!U20),"",Master!U20)</f>
        <v>x</v>
      </c>
      <c r="W20" s="28" t="str">
        <f>IF(ISBLANK(Master!X20),"",Master!X20)</f>
        <v>Kulkarni</v>
      </c>
      <c r="X20" s="28" t="str">
        <f>IF(ISBLANK(Master!Y20),"",Master!Y20)</f>
        <v>Yeh</v>
      </c>
      <c r="Y20" s="28" t="str">
        <f>IF(ISBLANK(Master!Z20),"",Master!Z20)</f>
        <v/>
      </c>
      <c r="Z20" s="28" t="str">
        <f>IF(ISBLANK(Master!AA20),"",Master!AA20)</f>
        <v/>
      </c>
      <c r="AA20" s="28" t="str">
        <f>IF(ISBLANK(Master!AB20),"",Master!AB20)</f>
        <v>Gallagher</v>
      </c>
      <c r="AB20" s="28" t="str">
        <f>IF(ISBLANK(Master!AC20),"",Master!AC20)</f>
        <v/>
      </c>
    </row>
    <row r="21" spans="1:28" x14ac:dyDescent="0.4">
      <c r="A21" s="28" t="str">
        <f>IF(ISBLANK(Master!A21),"",Master!A21)</f>
        <v>Wed</v>
      </c>
      <c r="B21" s="28">
        <f>IF(ISBLANK(Master!B21),"",Master!B21)</f>
        <v>20</v>
      </c>
      <c r="C21" s="28" t="str">
        <f>IF(ISBLANK(Master!C21),"",Master!C21)</f>
        <v/>
      </c>
      <c r="D21" s="28" t="str">
        <f>IF(ISBLANK(Master!D21),"",Master!D21)</f>
        <v>x</v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>SHY</v>
      </c>
      <c r="H21" s="28" t="str">
        <f>IF(ISBLANK(Master!H21),"",Master!H21)</f>
        <v/>
      </c>
      <c r="I21" s="28" t="str">
        <f>IF(ISBLANK(Master!I21),"",Master!I21)</f>
        <v>x</v>
      </c>
      <c r="J21" s="28" t="str">
        <f>IF(ISBLANK(Master!J21),"",Master!J21)</f>
        <v/>
      </c>
      <c r="K21" s="28" t="str">
        <f>IF(ISBLANK(Master!K21),"",Master!K21)</f>
        <v/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/>
      </c>
      <c r="P21" s="28" t="str">
        <f>IF(ISBLANK(Master!P21),"",Master!P21)</f>
        <v/>
      </c>
      <c r="Q21" s="28" t="str">
        <f>IF(ISBLANK(Master!Q21),"",Master!Q21)</f>
        <v>CT</v>
      </c>
      <c r="R21" s="28" t="str">
        <f>IF(ISBLANK(Master!R21),"",Master!R21)</f>
        <v>x</v>
      </c>
      <c r="S21" s="28" t="str">
        <f>IF(ISBLANK(Master!S21),"",Master!S21)</f>
        <v>x</v>
      </c>
      <c r="T21" s="28" t="str">
        <f>IF(ISBLANK(Master!T21),"",Master!T21)</f>
        <v>x</v>
      </c>
      <c r="U21" s="28" t="str">
        <f>IF(ISBLANK(Master!U21),"",Master!U21)</f>
        <v>x</v>
      </c>
      <c r="W21" s="28" t="str">
        <f>IF(ISBLANK(Master!X21),"",Master!X21)</f>
        <v/>
      </c>
      <c r="X21" s="28" t="str">
        <f>IF(ISBLANK(Master!Y21),"",Master!Y21)</f>
        <v>Handzel</v>
      </c>
      <c r="Y21" s="28" t="str">
        <f>IF(ISBLANK(Master!Z21),"",Master!Z21)</f>
        <v/>
      </c>
      <c r="Z21" s="28" t="str">
        <f>IF(ISBLANK(Master!AA21),"",Master!AA21)</f>
        <v/>
      </c>
      <c r="AA21" s="28" t="str">
        <f>IF(ISBLANK(Master!AB21),"",Master!AB21)</f>
        <v>Myers</v>
      </c>
      <c r="AB21" s="28" t="str">
        <f>IF(ISBLANK(Master!AC21),"",Master!AC21)</f>
        <v/>
      </c>
    </row>
    <row r="22" spans="1:28" x14ac:dyDescent="0.4">
      <c r="A22" s="28" t="str">
        <f>IF(ISBLANK(Master!A22),"",Master!A22)</f>
        <v>Thu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>x</v>
      </c>
      <c r="E22" s="28" t="str">
        <f>IF(ISBLANK(Master!E22),"",Master!E22)</f>
        <v>x</v>
      </c>
      <c r="F22" s="28" t="str">
        <f>IF(ISBLANK(Master!F22),"",Master!F22)</f>
        <v/>
      </c>
      <c r="G22" s="28" t="str">
        <f>IF(ISBLANK(Master!G22),"",Master!G22)</f>
        <v/>
      </c>
      <c r="H22" s="28" t="str">
        <f>IF(ISBLANK(Master!H22),"",Master!H22)</f>
        <v>CT</v>
      </c>
      <c r="I22" s="28" t="str">
        <f>IF(ISBLANK(Master!I22),"",Master!I22)</f>
        <v>x</v>
      </c>
      <c r="J22" s="28" t="str">
        <f>IF(ISBLANK(Master!J22),"",Master!J22)</f>
        <v/>
      </c>
      <c r="K22" s="28" t="str">
        <f>IF(ISBLANK(Master!K22),"",Master!K22)</f>
        <v>x</v>
      </c>
      <c r="L22" s="28" t="str">
        <f>IF(ISBLANK(Master!L22),"",Master!L22)</f>
        <v/>
      </c>
      <c r="M22" s="28" t="str">
        <f>IF(ISBLANK(Master!M22),"",Master!M22)</f>
        <v>x</v>
      </c>
      <c r="N22" s="28" t="str">
        <f>IF(ISBLANK(Master!N22),"",Master!N22)</f>
        <v>x</v>
      </c>
      <c r="O22" s="28" t="str">
        <f>IF(ISBLANK(Master!O22),"",Master!O22)</f>
        <v/>
      </c>
      <c r="P22" s="28" t="str">
        <f>IF(ISBLANK(Master!P22),"",Master!P22)</f>
        <v/>
      </c>
      <c r="Q22" s="28" t="str">
        <f>IF(ISBLANK(Master!Q22),"",Master!Q22)</f>
        <v/>
      </c>
      <c r="R22" s="28" t="str">
        <f>IF(ISBLANK(Master!R22),"",Master!R22)</f>
        <v>x</v>
      </c>
      <c r="S22" s="28" t="str">
        <f>IF(ISBLANK(Master!S22),"",Master!S22)</f>
        <v>x</v>
      </c>
      <c r="T22" s="28" t="str">
        <f>IF(ISBLANK(Master!T22),"",Master!T22)</f>
        <v>x</v>
      </c>
      <c r="U22" s="28" t="str">
        <f>IF(ISBLANK(Master!U22),"",Master!U22)</f>
        <v>x</v>
      </c>
      <c r="W22" s="28" t="str">
        <f>IF(ISBLANK(Master!X22),"",Master!X22)</f>
        <v/>
      </c>
      <c r="X22" s="28" t="str">
        <f>IF(ISBLANK(Master!Y22),"",Master!Y22)</f>
        <v/>
      </c>
      <c r="Y22" s="28" t="str">
        <f>IF(ISBLANK(Master!Z22),"",Master!Z22)</f>
        <v/>
      </c>
      <c r="Z22" s="28" t="str">
        <f>IF(ISBLANK(Master!AA22),"",Master!AA22)</f>
        <v/>
      </c>
      <c r="AA22" s="28" t="str">
        <f>IF(ISBLANK(Master!AB22),"",Master!AB22)</f>
        <v>Hill (Kirk)</v>
      </c>
      <c r="AB22" s="28" t="str">
        <f>IF(ISBLANK(Master!AC22),"",Master!AC22)</f>
        <v/>
      </c>
    </row>
    <row r="23" spans="1:28" x14ac:dyDescent="0.4">
      <c r="A23" s="28" t="str">
        <f>IF(ISBLANK(Master!A23),"",Master!A23)</f>
        <v>Fri</v>
      </c>
      <c r="B23" s="28">
        <f>IF(ISBLANK(Master!B23),"",Master!B23)</f>
        <v>22</v>
      </c>
      <c r="C23" s="28" t="str">
        <f>IF(ISBLANK(Master!C23),"",Master!C23)</f>
        <v>CHP Sr.</v>
      </c>
      <c r="D23" s="28" t="str">
        <f>IF(ISBLANK(Master!D23),"",Master!D23)</f>
        <v>x</v>
      </c>
      <c r="E23" s="28" t="str">
        <f>IF(ISBLANK(Master!E23),"",Master!E23)</f>
        <v>x</v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>SHY</v>
      </c>
      <c r="I23" s="28" t="str">
        <f>IF(ISBLANK(Master!I23),"",Master!I23)</f>
        <v>x</v>
      </c>
      <c r="J23" s="28" t="str">
        <f>IF(ISBLANK(Master!J23),"",Master!J23)</f>
        <v>CT</v>
      </c>
      <c r="K23" s="28" t="str">
        <f>IF(ISBLANK(Master!K23),"",Master!K23)</f>
        <v>x</v>
      </c>
      <c r="L23" s="28" t="str">
        <f>IF(ISBLANK(Master!L23),"",Master!L23)</f>
        <v>Trauma</v>
      </c>
      <c r="M23" s="28" t="str">
        <f>IF(ISBLANK(Master!M23),"",Master!M23)</f>
        <v>x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U23" s="28" t="str">
        <f>IF(ISBLANK(Master!U23),"",Master!U23)</f>
        <v>x</v>
      </c>
      <c r="W23" s="28" t="str">
        <f>IF(ISBLANK(Master!X23),"",Master!X23)</f>
        <v>Cyr</v>
      </c>
      <c r="X23" s="28" t="str">
        <f>IF(ISBLANK(Master!Y23),"",Master!Y23)</f>
        <v>Hill (Kirk)</v>
      </c>
      <c r="Y23" s="28" t="str">
        <f>IF(ISBLANK(Master!Z23),"",Master!Z23)</f>
        <v>Dyer</v>
      </c>
      <c r="Z23" s="28" t="str">
        <f>IF(ISBLANK(Master!AA23),"",Master!AA23)</f>
        <v/>
      </c>
      <c r="AA23" s="28" t="str">
        <f>IF(ISBLANK(Master!AB23),"",Master!AB23)</f>
        <v>Siow</v>
      </c>
      <c r="AB23" s="28" t="str">
        <f>IF(ISBLANK(Master!AC23),"",Master!AC23)</f>
        <v/>
      </c>
    </row>
    <row r="24" spans="1:28" x14ac:dyDescent="0.4">
      <c r="A24" s="28" t="str">
        <f>IF(ISBLANK(Master!A24),"",Master!A24)</f>
        <v>Sat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>x</v>
      </c>
      <c r="E24" s="28" t="str">
        <f>IF(ISBLANK(Master!E24),"",Master!E24)</f>
        <v>x</v>
      </c>
      <c r="F24" s="28" t="str">
        <f>IF(ISBLANK(Master!F24),"",Master!F24)</f>
        <v/>
      </c>
      <c r="G24" s="28" t="str">
        <f>IF(ISBLANK(Master!G24),"",Master!G24)</f>
        <v>x</v>
      </c>
      <c r="H24" s="28" t="str">
        <f>IF(ISBLANK(Master!H24),"",Master!H24)</f>
        <v>x</v>
      </c>
      <c r="I24" s="28" t="str">
        <f>IF(ISBLANK(Master!I24),"",Master!I24)</f>
        <v>x</v>
      </c>
      <c r="J24" s="28" t="str">
        <f>IF(ISBLANK(Master!J24),"",Master!J24)</f>
        <v>CHP Sr.</v>
      </c>
      <c r="K24" s="28" t="str">
        <f>IF(ISBLANK(Master!K24),"",Master!K24)</f>
        <v>x</v>
      </c>
      <c r="L24" s="28" t="str">
        <f>IF(ISBLANK(Master!L24),"",Master!L24)</f>
        <v/>
      </c>
      <c r="M24" s="28" t="str">
        <f>IF(ISBLANK(Master!M24),"",Master!M24)</f>
        <v>x</v>
      </c>
      <c r="N24" s="28" t="str">
        <f>IF(ISBLANK(Master!N24),"",Master!N24)</f>
        <v>x</v>
      </c>
      <c r="O24" s="28" t="str">
        <f>IF(ISBLANK(Master!O24),"",Master!O24)</f>
        <v>x</v>
      </c>
      <c r="P24" s="28" t="str">
        <f>IF(ISBLANK(Master!P24),"",Master!P24)</f>
        <v>x</v>
      </c>
      <c r="Q24" s="28" t="str">
        <f>IF(ISBLANK(Master!Q24),"",Master!Q24)</f>
        <v>Trauma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U24" s="28" t="str">
        <f>IF(ISBLANK(Master!U24),"",Master!U24)</f>
        <v>x</v>
      </c>
      <c r="W24" s="28" t="str">
        <f>IF(ISBLANK(Master!X24),"",Master!X24)</f>
        <v>Myers</v>
      </c>
      <c r="X24" s="28" t="str">
        <f>IF(ISBLANK(Master!Y24),"",Master!Y24)</f>
        <v/>
      </c>
      <c r="Y24" s="28" t="str">
        <f>IF(ISBLANK(Master!Z24),"",Master!Z24)</f>
        <v>Siow</v>
      </c>
      <c r="Z24" s="28" t="str">
        <f>IF(ISBLANK(Master!AA24),"",Master!AA24)</f>
        <v/>
      </c>
      <c r="AA24" s="28" t="str">
        <f>IF(ISBLANK(Master!AB24),"",Master!AB24)</f>
        <v>NEEDS COVERAGE</v>
      </c>
      <c r="AB24" s="28" t="str">
        <f>IF(ISBLANK(Master!AC24),"",Master!AC24)</f>
        <v/>
      </c>
    </row>
    <row r="25" spans="1:28" x14ac:dyDescent="0.4">
      <c r="A25" s="28" t="str">
        <f>IF(ISBLANK(Master!A25),"",Master!A25)</f>
        <v>Sun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>x</v>
      </c>
      <c r="E25" s="28" t="str">
        <f>IF(ISBLANK(Master!E25),"",Master!E25)</f>
        <v>x</v>
      </c>
      <c r="F25" s="28" t="str">
        <f>IF(ISBLANK(Master!F25),"",Master!F25)</f>
        <v>x</v>
      </c>
      <c r="G25" s="28" t="str">
        <f>IF(ISBLANK(Master!G25),"",Master!G25)</f>
        <v>x</v>
      </c>
      <c r="H25" s="28" t="str">
        <f>IF(ISBLANK(Master!H25),"",Master!H25)</f>
        <v>x</v>
      </c>
      <c r="I25" s="28" t="str">
        <f>IF(ISBLANK(Master!I25),"",Master!I25)</f>
        <v>x</v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>x</v>
      </c>
      <c r="N25" s="28" t="str">
        <f>IF(ISBLANK(Master!N25),"",Master!N25)</f>
        <v>x</v>
      </c>
      <c r="O25" s="28" t="str">
        <f>IF(ISBLANK(Master!O25),"",Master!O25)</f>
        <v>x</v>
      </c>
      <c r="P25" s="28" t="str">
        <f>IF(ISBLANK(Master!P25),"",Master!P25)</f>
        <v>x</v>
      </c>
      <c r="Q25" s="28" t="str">
        <f>IF(ISBLANK(Master!Q25),"",Master!Q25)</f>
        <v/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U25" s="28" t="str">
        <f>IF(ISBLANK(Master!U25),"",Master!U25)</f>
        <v>x</v>
      </c>
      <c r="W25" s="28" t="str">
        <f>IF(ISBLANK(Master!X25),"",Master!X25)</f>
        <v/>
      </c>
      <c r="X25" s="28" t="str">
        <f>IF(ISBLANK(Master!Y25),"",Master!Y25)</f>
        <v/>
      </c>
      <c r="Y25" s="28" t="str">
        <f>IF(ISBLANK(Master!Z25),"",Master!Z25)</f>
        <v/>
      </c>
      <c r="Z25" s="28" t="str">
        <f>IF(ISBLANK(Master!AA25),"",Master!AA25)</f>
        <v/>
      </c>
      <c r="AA25" s="28" t="str">
        <f>IF(ISBLANK(Master!AB25),"",Master!AB25)</f>
        <v>NEEDS COVERAGE</v>
      </c>
      <c r="AB25" s="28" t="str">
        <f>IF(ISBLANK(Master!AC25),"",Master!AC25)</f>
        <v/>
      </c>
    </row>
    <row r="26" spans="1:28" x14ac:dyDescent="0.4">
      <c r="A26" s="28" t="str">
        <f>IF(ISBLANK(Master!A26),"",Master!A26)</f>
        <v>Mon</v>
      </c>
      <c r="B26" s="28">
        <f>IF(ISBLANK(Master!B26),"",Master!B26)</f>
        <v>25</v>
      </c>
      <c r="C26" s="28" t="str">
        <f>IF(ISBLANK(Master!C26),"",Master!C26)</f>
        <v>CT</v>
      </c>
      <c r="D26" s="28" t="str">
        <f>IF(ISBLANK(Master!D26),"",Master!D26)</f>
        <v>x</v>
      </c>
      <c r="E26" s="28" t="str">
        <f>IF(ISBLANK(Master!E26),"",Master!E26)</f>
        <v>x</v>
      </c>
      <c r="F26" s="28" t="str">
        <f>IF(ISBLANK(Master!F26),"",Master!F26)</f>
        <v>x</v>
      </c>
      <c r="G26" s="28" t="str">
        <f>IF(ISBLANK(Master!G26),"",Master!G26)</f>
        <v>x</v>
      </c>
      <c r="H26" s="28" t="str">
        <f>IF(ISBLANK(Master!H26),"",Master!H26)</f>
        <v>x</v>
      </c>
      <c r="I26" s="28" t="str">
        <f>IF(ISBLANK(Master!I26),"",Master!I26)</f>
        <v>x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>Trauma</v>
      </c>
      <c r="M26" s="28" t="str">
        <f>IF(ISBLANK(Master!M27),"",Master!M27)</f>
        <v>x</v>
      </c>
      <c r="N26" s="28" t="str">
        <f>IF(ISBLANK(Master!N26),"",Master!N26)</f>
        <v>x</v>
      </c>
      <c r="O26" s="28" t="str">
        <f>IF(ISBLANK(Master!O26),"",Master!O26)</f>
        <v>x</v>
      </c>
      <c r="P26" s="28" t="str">
        <f>IF(ISBLANK(Master!P26),"",Master!P26)</f>
        <v>x</v>
      </c>
      <c r="Q26" s="28" t="str">
        <f>IF(ISBLANK(Master!Q26),"",Master!Q26)</f>
        <v>CHP Jr.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U26" s="28" t="str">
        <f>IF(ISBLANK(Master!U26),"",Master!U26)</f>
        <v>x</v>
      </c>
      <c r="W26" s="28" t="str">
        <f>IF(ISBLANK(Master!X26),"",Master!X26)</f>
        <v>Cyr</v>
      </c>
      <c r="X26" s="28" t="str">
        <f>IF(ISBLANK(Master!Y26),"",Master!Y26)</f>
        <v/>
      </c>
      <c r="Y26" s="28" t="str">
        <f>IF(ISBLANK(Master!Z26),"",Master!Z26)</f>
        <v/>
      </c>
      <c r="Z26" s="28" t="str">
        <f>IF(ISBLANK(Master!AA26),"",Master!AA26)</f>
        <v>Myers</v>
      </c>
      <c r="AA26" s="28" t="str">
        <f>IF(ISBLANK(Master!AB26),"",Master!AB26)</f>
        <v>Dyer</v>
      </c>
      <c r="AB26" s="28" t="str">
        <f>IF(ISBLANK(Master!AC26),"",Master!AC26)</f>
        <v/>
      </c>
    </row>
    <row r="27" spans="1:28" x14ac:dyDescent="0.4">
      <c r="A27" s="28" t="str">
        <f>IF(ISBLANK(Master!A27),"",Master!A27)</f>
        <v>Tue</v>
      </c>
      <c r="B27" s="28">
        <f>IF(ISBLANK(Master!B27),"",Master!B27)</f>
        <v>26</v>
      </c>
      <c r="C27" s="28" t="str">
        <f>IF(ISBLANK(Master!C27),"",Master!C27)</f>
        <v/>
      </c>
      <c r="D27" s="28" t="str">
        <f>IF(ISBLANK(Master!D27),"",Master!D27)</f>
        <v>CT</v>
      </c>
      <c r="E27" s="28" t="str">
        <f>IF(ISBLANK(Master!E27),"",Master!E27)</f>
        <v>x</v>
      </c>
      <c r="F27" s="28" t="str">
        <f>IF(ISBLANK(Master!F27),"",Master!F27)</f>
        <v>Trauma</v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>x</v>
      </c>
      <c r="J27" s="28" t="str">
        <f>IF(ISBLANK(Master!J27),"",Master!J27)</f>
        <v>CHP Sr.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IF(ISBLANK(Master!M28),"",Master!M28)</f>
        <v>x</v>
      </c>
      <c r="N27" s="28" t="str">
        <f>IF(ISBLANK(Master!N27),"",Master!N27)</f>
        <v>x</v>
      </c>
      <c r="O27" s="28" t="str">
        <f>IF(ISBLANK(Master!O27),"",Master!O27)</f>
        <v>x</v>
      </c>
      <c r="P27" s="28" t="str">
        <f>IF(ISBLANK(Master!P27),"",Master!P27)</f>
        <v>x</v>
      </c>
      <c r="Q27" s="28" t="str">
        <f>IF(ISBLANK(Master!Q27),"",Master!Q27)</f>
        <v/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U27" s="28" t="str">
        <f>IF(ISBLANK(Master!U27),"",Master!U27)</f>
        <v>x</v>
      </c>
      <c r="W27" s="28" t="str">
        <f>IF(ISBLANK(Master!X27),"",Master!X27)</f>
        <v>Griepentrog</v>
      </c>
      <c r="X27" s="28" t="str">
        <f>IF(ISBLANK(Master!Y27),"",Master!Y27)</f>
        <v/>
      </c>
      <c r="Y27" s="28" t="str">
        <f>IF(ISBLANK(Master!Z27),"",Master!Z27)</f>
        <v>Siow</v>
      </c>
      <c r="Z27" s="28" t="str">
        <f>IF(ISBLANK(Master!AA27),"",Master!AA27)</f>
        <v/>
      </c>
      <c r="AA27" s="28" t="str">
        <f>IF(ISBLANK(Master!AB27),"",Master!AB27)</f>
        <v>Van Der Windt</v>
      </c>
      <c r="AB27" s="28" t="str">
        <f>IF(ISBLANK(Master!AC27),"",Master!AC27)</f>
        <v/>
      </c>
    </row>
    <row r="28" spans="1:28" x14ac:dyDescent="0.4">
      <c r="A28" s="28" t="str">
        <f>IF(ISBLANK(Master!A28),"",Master!A28)</f>
        <v>Wed</v>
      </c>
      <c r="B28" s="28">
        <f>IF(ISBLANK(Master!B28),"",Master!B28)</f>
        <v>27</v>
      </c>
      <c r="C28" s="28" t="str">
        <f>IF(ISBLANK(Master!C28),"",Master!C28)</f>
        <v>CHP Sr.</v>
      </c>
      <c r="D28" s="28" t="str">
        <f>IF(ISBLANK(Master!D28),"",Master!D28)</f>
        <v/>
      </c>
      <c r="E28" s="28" t="str">
        <f>IF(ISBLANK(Master!E28),"",Master!E28)</f>
        <v>x</v>
      </c>
      <c r="F28" s="28" t="str">
        <f>IF(ISBLANK(Master!F28),"",Master!F28)</f>
        <v/>
      </c>
      <c r="G28" s="28" t="str">
        <f>IF(ISBLANK(Master!G28),"",Master!G28)</f>
        <v>x</v>
      </c>
      <c r="H28" s="28" t="str">
        <f>IF(ISBLANK(Master!H28),"",Master!H28)</f>
        <v>x</v>
      </c>
      <c r="I28" s="28" t="str">
        <f>IF(ISBLANK(Master!I28),"",Master!I28)</f>
        <v>x</v>
      </c>
      <c r="J28" s="28" t="str">
        <f>IF(ISBLANK(Master!J28),"",Master!J28)</f>
        <v>CT</v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>x</v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>x</v>
      </c>
      <c r="Q28" s="28" t="str">
        <f>IF(ISBLANK(Master!Q28),"",Master!Q28)</f>
        <v/>
      </c>
      <c r="R28" s="28" t="str">
        <f>IF(ISBLANK(Master!R28),"",Master!R28)</f>
        <v>x</v>
      </c>
      <c r="S28" s="28" t="str">
        <f>IF(ISBLANK(Master!S28),"",Master!S28)</f>
        <v>x</v>
      </c>
      <c r="T28" s="28" t="str">
        <f>IF(ISBLANK(Master!T28),"",Master!T28)</f>
        <v>x</v>
      </c>
      <c r="U28" s="28" t="str">
        <f>IF(ISBLANK(Master!U28),"",Master!U28)</f>
        <v>x</v>
      </c>
      <c r="W28" s="28" t="str">
        <f>IF(ISBLANK(Master!X28),"",Master!X28)</f>
        <v/>
      </c>
      <c r="X28" s="28" t="str">
        <f>IF(ISBLANK(Master!Y28),"",Master!Y28)</f>
        <v/>
      </c>
      <c r="Y28" s="28" t="str">
        <f>IF(ISBLANK(Master!Z28),"",Master!Z28)</f>
        <v>Dyer</v>
      </c>
      <c r="Z28" s="28" t="str">
        <f>IF(ISBLANK(Master!AA28),"",Master!AA28)</f>
        <v/>
      </c>
      <c r="AA28" s="28" t="str">
        <f>IF(ISBLANK(Master!AB28),"",Master!AB28)</f>
        <v>Siow</v>
      </c>
      <c r="AB28" s="28" t="str">
        <f>IF(ISBLANK(Master!AC28),"",Master!AC28)</f>
        <v/>
      </c>
    </row>
    <row r="29" spans="1:28" x14ac:dyDescent="0.4">
      <c r="A29" s="28" t="str">
        <f>IF(ISBLANK(Master!A29),"",Master!A29)</f>
        <v>Thu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>x</v>
      </c>
      <c r="F29" s="28" t="str">
        <f>IF(ISBLANK(Master!F29),"",Master!F29)</f>
        <v/>
      </c>
      <c r="G29" s="28" t="str">
        <f>IF(ISBLANK(Master!G29),"",Master!G29)</f>
        <v>x</v>
      </c>
      <c r="H29" s="28" t="str">
        <f>IF(ISBLANK(Master!H29),"",Master!H29)</f>
        <v>SHY</v>
      </c>
      <c r="I29" s="28" t="str">
        <f>IF(ISBLANK(Master!I29),"",Master!I29)</f>
        <v>x</v>
      </c>
      <c r="J29" s="28" t="str">
        <f>IF(ISBLANK(Master!J29),"",Master!J29)</f>
        <v/>
      </c>
      <c r="K29" s="28" t="str">
        <f>IF(ISBLANK(Master!K29),"",Master!K29)</f>
        <v>CT</v>
      </c>
      <c r="L29" s="28" t="str">
        <f>IF(ISBLANK(Master!L29),"",Master!L29)</f>
        <v>x</v>
      </c>
      <c r="M29" s="28" t="str">
        <f>IF(ISBLANK(Master!M29),"",Master!M29)</f>
        <v>x</v>
      </c>
      <c r="N29" s="28" t="str">
        <f>IF(ISBLANK(Master!N29),"",Master!N29)</f>
        <v/>
      </c>
      <c r="O29" s="28" t="str">
        <f>IF(ISBLANK(Master!O29),"",Master!O29)</f>
        <v/>
      </c>
      <c r="P29" s="28" t="str">
        <f>IF(ISBLANK(Master!P29),"",Master!P29)</f>
        <v>CHP Jr.</v>
      </c>
      <c r="Q29" s="28" t="str">
        <f>IF(ISBLANK(Master!Q29),"",Master!Q29)</f>
        <v/>
      </c>
      <c r="R29" s="28" t="str">
        <f>IF(ISBLANK(Master!R29),"",Master!R29)</f>
        <v>x</v>
      </c>
      <c r="S29" s="28" t="str">
        <f>IF(ISBLANK(Master!S29),"",Master!S29)</f>
        <v>x</v>
      </c>
      <c r="T29" s="28" t="str">
        <f>IF(ISBLANK(Master!T29),"",Master!T29)</f>
        <v>x</v>
      </c>
      <c r="U29" s="28" t="str">
        <f>IF(ISBLANK(Master!U29),"",Master!U29)</f>
        <v>x</v>
      </c>
      <c r="W29" s="28" t="str">
        <f>IF(ISBLANK(Master!X29),"",Master!X29)</f>
        <v/>
      </c>
      <c r="X29" s="28" t="str">
        <f>IF(ISBLANK(Master!Y29),"",Master!Y29)</f>
        <v>Hill (Kirk)</v>
      </c>
      <c r="Y29" s="28" t="str">
        <f>IF(ISBLANK(Master!Z29),"",Master!Z29)</f>
        <v/>
      </c>
      <c r="Z29" s="28" t="str">
        <f>IF(ISBLANK(Master!AA29),"",Master!AA29)</f>
        <v>Kulkarni</v>
      </c>
      <c r="AA29" s="28" t="str">
        <f>IF(ISBLANK(Master!AB29),"",Master!AB29)</f>
        <v>Tam</v>
      </c>
      <c r="AB29" s="28" t="str">
        <f>IF(ISBLANK(Master!AC29),"",Master!AC29)</f>
        <v/>
      </c>
    </row>
    <row r="30" spans="1:28" x14ac:dyDescent="0.4">
      <c r="A30" s="28" t="str">
        <f>IF(ISBLANK(Master!A30),"",Master!A30)</f>
        <v>Fri</v>
      </c>
      <c r="B30" s="28">
        <f>IF(ISBLANK(Master!B30),"",Master!B30)</f>
        <v>29</v>
      </c>
      <c r="C30" s="28" t="str">
        <f>IF(ISBLANK(Master!C30),"",Master!C30)</f>
        <v/>
      </c>
      <c r="D30" s="28" t="str">
        <f>IF(ISBLANK(Master!D30),"",Master!D30)</f>
        <v>CT</v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>x</v>
      </c>
      <c r="H30" s="28" t="str">
        <f>IF(ISBLANK(Master!H30),"",Master!H30)</f>
        <v/>
      </c>
      <c r="I30" s="28" t="str">
        <f>IF(ISBLANK(Master!I30),"",Master!I30)</f>
        <v>x</v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>x</v>
      </c>
      <c r="M30" s="28" t="str">
        <f>IF(ISBLANK(Master!M30),"",Master!M30)</f>
        <v>x</v>
      </c>
      <c r="N30" s="28" t="str">
        <f>IF(ISBLANK(Master!N30),"",Master!N30)</f>
        <v>CHP Jr.</v>
      </c>
      <c r="O30" s="28" t="str">
        <f>IF(ISBLANK(Master!O30),"",Master!O30)</f>
        <v/>
      </c>
      <c r="P30" s="28" t="str">
        <f>IF(ISBLANK(Master!P30),"",Master!P30)</f>
        <v/>
      </c>
      <c r="Q30" s="28" t="str">
        <f>IF(ISBLANK(Master!Q30),"",Master!Q30)</f>
        <v/>
      </c>
      <c r="R30" s="28" t="str">
        <f>IF(ISBLANK(Master!R30),"",Master!R30)</f>
        <v>x</v>
      </c>
      <c r="S30" s="28" t="str">
        <f>IF(ISBLANK(Master!S30),"",Master!S30)</f>
        <v>Trauma</v>
      </c>
      <c r="T30" s="28" t="str">
        <f>IF(ISBLANK(Master!T30),"",Master!T30)</f>
        <v>x</v>
      </c>
      <c r="U30" s="28" t="str">
        <f>IF(ISBLANK(Master!U30),"",Master!U30)</f>
        <v>x</v>
      </c>
      <c r="W30" s="28" t="str">
        <f>IF(ISBLANK(Master!X30),"",Master!X30)</f>
        <v>Torres</v>
      </c>
      <c r="X30" s="28" t="str">
        <f>IF(ISBLANK(Master!Y30),"",Master!Y30)</f>
        <v/>
      </c>
      <c r="Y30" s="28" t="str">
        <f>IF(ISBLANK(Master!Z30),"",Master!Z30)</f>
        <v/>
      </c>
      <c r="Z30" s="28" t="str">
        <f>IF(ISBLANK(Master!AA30),"",Master!AA30)</f>
        <v>Gallagher</v>
      </c>
      <c r="AA30" s="28" t="str">
        <f>IF(ISBLANK(Master!AB30),"",Master!AB30)</f>
        <v>Van Der Windt</v>
      </c>
      <c r="AB30" s="28" t="str">
        <f>IF(ISBLANK(Master!AC30),"",Master!AC30)</f>
        <v/>
      </c>
    </row>
    <row r="31" spans="1:28" x14ac:dyDescent="0.4">
      <c r="A31" s="28" t="str">
        <f>IF(ISBLANK(Master!A31),"",Master!A31)</f>
        <v>Sat</v>
      </c>
      <c r="B31" s="28">
        <f>IF(ISBLANK(Master!B31),"",Master!B31)</f>
        <v>30</v>
      </c>
      <c r="C31" s="28" t="str">
        <f>IF(ISBLANK(Master!C31),"",Master!C31)</f>
        <v>Trauma</v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>x</v>
      </c>
      <c r="J31" s="28" t="str">
        <f>IF(ISBLANK(Master!J31),"",Master!J31)</f>
        <v>x</v>
      </c>
      <c r="K31" s="28" t="str">
        <f>IF(ISBLANK(Master!K31),"",Master!K31)</f>
        <v/>
      </c>
      <c r="L31" s="28" t="str">
        <f>IF(ISBLANK(Master!L31),"",Master!L31)</f>
        <v>x</v>
      </c>
      <c r="M31" s="28" t="str">
        <f>IF(ISBLANK(Master!M31),"",Master!M31)</f>
        <v>x</v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>x</v>
      </c>
      <c r="R31" s="28" t="str">
        <f>IF(ISBLANK(Master!R31),"",Master!R31)</f>
        <v>x</v>
      </c>
      <c r="S31" s="28" t="str">
        <f>IF(ISBLANK(Master!S31),"",Master!S31)</f>
        <v>x</v>
      </c>
      <c r="T31" s="28" t="str">
        <f>IF(ISBLANK(Master!T31),"",Master!T31)</f>
        <v>x</v>
      </c>
      <c r="U31" s="28" t="str">
        <f>IF(ISBLANK(Master!U31),"",Master!U31)</f>
        <v>x</v>
      </c>
      <c r="W31" s="28" t="str">
        <f>IF(ISBLANK(Master!X31),"",Master!X31)</f>
        <v>Dyer</v>
      </c>
      <c r="X31" s="28" t="str">
        <f>IF(ISBLANK(Master!Y31),"",Master!Y31)</f>
        <v/>
      </c>
      <c r="Y31" s="28" t="str">
        <f>IF(ISBLANK(Master!Z31),"",Master!Z31)</f>
        <v/>
      </c>
      <c r="Z31" s="28" t="str">
        <f>IF(ISBLANK(Master!AA31),"",Master!AA31)</f>
        <v/>
      </c>
      <c r="AA31" s="28" t="str">
        <f>IF(ISBLANK(Master!AB31),"",Master!AB31)</f>
        <v>NEEDS COVERAGE</v>
      </c>
      <c r="AB31" s="28" t="str">
        <f>IF(ISBLANK(Master!AC31),"",Master!AC31)</f>
        <v/>
      </c>
    </row>
    <row r="32" spans="1:28" x14ac:dyDescent="0.4">
      <c r="A32" s="28" t="str">
        <f>IF(ISBLANK(Master!A32),"",Master!A32)</f>
        <v>Sun</v>
      </c>
      <c r="B32" s="28">
        <f>IF(ISBLANK(Master!B32),"",Master!B32)</f>
        <v>31</v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>x</v>
      </c>
      <c r="J32" s="28" t="str">
        <f>IF(ISBLANK(Master!J32),"",Master!J32)</f>
        <v>x</v>
      </c>
      <c r="K32" s="28" t="str">
        <f>IF(ISBLANK(Master!K32),"",Master!K32)</f>
        <v/>
      </c>
      <c r="L32" s="28" t="str">
        <f>IF(ISBLANK(Master!L32),"",Master!L32)</f>
        <v>x</v>
      </c>
      <c r="M32" s="28" t="str">
        <f>IF(ISBLANK(Master!M32),"",Master!M32)</f>
        <v>x</v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>x</v>
      </c>
      <c r="R32" s="28" t="str">
        <f>IF(ISBLANK(Master!R32),"",Master!R32)</f>
        <v>x</v>
      </c>
      <c r="S32" s="28" t="str">
        <f>IF(ISBLANK(Master!S32),"",Master!S32)</f>
        <v>x</v>
      </c>
      <c r="T32" s="28" t="str">
        <f>IF(ISBLANK(Master!T32),"",Master!T32)</f>
        <v>x</v>
      </c>
      <c r="U32" s="28" t="str">
        <f>IF(ISBLANK(Master!U32),"",Master!U32)</f>
        <v>x</v>
      </c>
      <c r="W32" s="28" t="str">
        <f>IF(ISBLANK(Master!X32),"",Master!X32)</f>
        <v/>
      </c>
      <c r="X32" s="28" t="str">
        <f>IF(ISBLANK(Master!Y32),"",Master!Y32)</f>
        <v/>
      </c>
      <c r="Y32" s="28" t="str">
        <f>IF(ISBLANK(Master!Z32),"",Master!Z32)</f>
        <v/>
      </c>
      <c r="Z32" s="28" t="str">
        <f>IF(ISBLANK(Master!AA32),"",Master!AA32)</f>
        <v/>
      </c>
      <c r="AA32" s="28" t="str">
        <f>IF(ISBLANK(Master!AB32),"",Master!AB32)</f>
        <v>NEEDS COVERAGE</v>
      </c>
    </row>
    <row r="33" spans="1:27" x14ac:dyDescent="0.4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U33" s="28" t="str">
        <f>IF(ISBLANK(Master!U33),"",Master!U33)</f>
        <v/>
      </c>
      <c r="W33" s="28" t="str">
        <f>IF(ISBLANK(Master!X33),"",Master!X33)</f>
        <v/>
      </c>
      <c r="X33" s="28" t="str">
        <f>IF(ISBLANK(Master!Y33),"",Master!Y33)</f>
        <v/>
      </c>
      <c r="Y33" s="28" t="str">
        <f>IF(ISBLANK(Master!Z33),"",Master!Z33)</f>
        <v/>
      </c>
      <c r="Z33" s="28" t="str">
        <f>IF(ISBLANK(Master!AA33),"",Master!AA33)</f>
        <v/>
      </c>
      <c r="AA33" s="28" t="str">
        <f>IF(ISBLANK(Master!AB33),"",Master!AB33)</f>
        <v/>
      </c>
    </row>
    <row r="34" spans="1:27" x14ac:dyDescent="0.4">
      <c r="A34" s="28" t="str">
        <f>IF(ISBLANK(Master!A34),"",Master!A34)</f>
        <v>Requested</v>
      </c>
      <c r="B34" s="28" t="str">
        <f>IF(ISBLANK(Master!B34),"",Master!B34)</f>
        <v/>
      </c>
      <c r="C34" s="28" t="str">
        <f>IF(ISBLANK(Master!C34),"",Master!C34)</f>
        <v>5-6</v>
      </c>
      <c r="D34" s="28" t="str">
        <f>IF(ISBLANK(Master!D34),"",Master!D34)</f>
        <v>6</v>
      </c>
      <c r="E34" s="28" t="str">
        <f>IF(ISBLANK(Master!E34),"",Master!E34)</f>
        <v>3</v>
      </c>
      <c r="F34" s="28" t="str">
        <f>IF(ISBLANK(Master!F34),"",Master!F34)</f>
        <v>3-4</v>
      </c>
      <c r="G34" s="28" t="str">
        <f>IF(ISBLANK(Master!G34),"",Master!G34)</f>
        <v>3</v>
      </c>
      <c r="H34" s="28" t="str">
        <f>IF(ISBLANK(Master!H34),"",Master!H34)</f>
        <v>4</v>
      </c>
      <c r="I34" s="28" t="str">
        <f>IF(ISBLANK(Master!I34),"",Master!I34)</f>
        <v>5</v>
      </c>
      <c r="J34" s="28" t="str">
        <f>IF(ISBLANK(Master!J34),"",Master!J34)</f>
        <v>5</v>
      </c>
      <c r="K34" s="28" t="str">
        <f>IF(ISBLANK(Master!K34),"",Master!K34)</f>
        <v>5</v>
      </c>
      <c r="L34" s="28" t="str">
        <f>IF(ISBLANK(Master!L34),"",Master!L34)</f>
        <v>3</v>
      </c>
      <c r="M34" s="28" t="str">
        <f>IF(ISBLANK(Master!M34),"",Master!M34)</f>
        <v>5</v>
      </c>
      <c r="N34" s="28" t="str">
        <f>IF(ISBLANK(Master!N34),"",Master!N34)</f>
        <v>5-6</v>
      </c>
      <c r="O34" s="28" t="str">
        <f>IF(ISBLANK(Master!O34),"",Master!O34)</f>
        <v>3</v>
      </c>
      <c r="P34" s="28" t="str">
        <f>IF(ISBLANK(Master!P34),"",Master!P34)</f>
        <v>4</v>
      </c>
      <c r="Q34" s="28" t="str">
        <f>IF(ISBLANK(Master!Q34),"",Master!Q34)</f>
        <v>5</v>
      </c>
      <c r="R34" s="28" t="str">
        <f>IF(ISBLANK(Master!R34),"",Master!R34)</f>
        <v>0</v>
      </c>
      <c r="S34" s="28" t="str">
        <f>IF(ISBLANK(Master!S34),"",Master!S34)</f>
        <v>1</v>
      </c>
      <c r="T34" s="28" t="str">
        <f>IF(ISBLANK(Master!T34),"",Master!T34)</f>
        <v>0</v>
      </c>
      <c r="U34" s="28" t="str">
        <f>IF(ISBLANK(Master!U34),"",Master!U34)</f>
        <v>0</v>
      </c>
      <c r="W34" s="28" t="str">
        <f>IF(ISBLANK(Master!X34),"",Master!X34)</f>
        <v/>
      </c>
      <c r="X34" s="28" t="str">
        <f>IF(ISBLANK(Master!Y34),"",Master!Y34)</f>
        <v/>
      </c>
      <c r="Y34" s="28" t="str">
        <f>IF(ISBLANK(Master!Z34),"",Master!Z34)</f>
        <v/>
      </c>
      <c r="Z34" s="28" t="str">
        <f>IF(ISBLANK(Master!AA34),"",Master!AA34)</f>
        <v/>
      </c>
      <c r="AA34" s="28" t="str">
        <f>IF(ISBLANK(Master!AB34),"",Master!AB34)</f>
        <v/>
      </c>
    </row>
    <row r="35" spans="1:27" x14ac:dyDescent="0.4">
      <c r="A35" s="28" t="str">
        <f>IF(ISBLANK(Master!A35),"",Master!A35)</f>
        <v>Calls</v>
      </c>
      <c r="B35" s="28" t="str">
        <f>IF(ISBLANK(Master!B35),"",Master!B35)</f>
        <v/>
      </c>
      <c r="C35" s="28">
        <f>IF(ISBLANK(Master!C35),"",Master!C35)</f>
        <v>5</v>
      </c>
      <c r="D35" s="28">
        <f>IF(ISBLANK(Master!D35),"",Master!D35)</f>
        <v>5</v>
      </c>
      <c r="E35" s="28">
        <f>IF(ISBLANK(Master!E35),"",Master!E35)</f>
        <v>3</v>
      </c>
      <c r="F35" s="28">
        <f>IF(ISBLANK(Master!F35),"",Master!F35)</f>
        <v>3</v>
      </c>
      <c r="G35" s="28">
        <f>IF(ISBLANK(Master!G35),"",Master!G35)</f>
        <v>3</v>
      </c>
      <c r="H35" s="28">
        <f>IF(ISBLANK(Master!H35),"",Master!H35)</f>
        <v>4</v>
      </c>
      <c r="I35" s="28">
        <f>IF(ISBLANK(Master!I35),"",Master!I35)</f>
        <v>6</v>
      </c>
      <c r="J35" s="28">
        <f>IF(ISBLANK(Master!J35),"",Master!J35)</f>
        <v>5</v>
      </c>
      <c r="K35" s="28">
        <f>IF(ISBLANK(Master!K35),"",Master!K35)</f>
        <v>5</v>
      </c>
      <c r="L35" s="28">
        <f>IF(ISBLANK(Master!L35),"",Master!L35)</f>
        <v>3</v>
      </c>
      <c r="M35" s="28">
        <f>IF(ISBLANK(Master!M35),"",Master!M35)</f>
        <v>5</v>
      </c>
      <c r="N35" s="28">
        <f>IF(ISBLANK(Master!N35),"",Master!N35)</f>
        <v>5</v>
      </c>
      <c r="O35" s="28">
        <f>IF(ISBLANK(Master!O35),"",Master!O35)</f>
        <v>3</v>
      </c>
      <c r="P35" s="28">
        <f>IF(ISBLANK(Master!P35),"",Master!P35)</f>
        <v>4</v>
      </c>
      <c r="Q35" s="28">
        <f>IF(ISBLANK(Master!Q35),"",Master!Q35)</f>
        <v>5</v>
      </c>
      <c r="R35" s="28">
        <f>IF(ISBLANK(Master!R35),"",Master!R35)</f>
        <v>0</v>
      </c>
      <c r="S35" s="28">
        <f>IF(ISBLANK(Master!S35),"",Master!S35)</f>
        <v>1</v>
      </c>
      <c r="T35" s="28">
        <f>IF(ISBLANK(Master!T35),"",Master!T35)</f>
        <v>0</v>
      </c>
      <c r="U35" s="28">
        <f>IF(ISBLANK(Master!U35),"",Master!U35)</f>
        <v>0</v>
      </c>
      <c r="W35" s="28" t="str">
        <f>IF(ISBLANK(Master!X35),"",Master!X35)</f>
        <v/>
      </c>
      <c r="X35" s="28" t="str">
        <f>IF(ISBLANK(Master!Y35),"",Master!Y35)</f>
        <v/>
      </c>
      <c r="Y35" s="28" t="str">
        <f>IF(ISBLANK(Master!Z35),"",Master!Z35)</f>
        <v/>
      </c>
      <c r="Z35" s="28" t="str">
        <f>IF(ISBLANK(Master!AA35),"",Master!AA35)</f>
        <v/>
      </c>
      <c r="AA35" s="28" t="str">
        <f>IF(ISBLANK(Master!AB35),"",Master!AB35)</f>
        <v/>
      </c>
    </row>
    <row r="37" spans="1:27" hidden="1" x14ac:dyDescent="0.4">
      <c r="T37" s="28" t="s">
        <v>74</v>
      </c>
    </row>
  </sheetData>
  <sheetProtection algorithmName="SHA-512" hashValue="hzSCGbBZjzxjKPCVZHnRz3nDEx/NsTVNP0eYNtSX2qUMI/t9xEMLlaFwxrppbRynNwBIeFiB/7DwedIylj0Okg==" saltValue="etfpPhOi2xkq3G3+Rc5gFw==" spinCount="100000" sheet="1" objects="1" scenarios="1"/>
  <conditionalFormatting sqref="W1:W1048576">
    <cfRule type="notContainsBlanks" dxfId="49" priority="6">
      <formula>LEN(TRIM(W1))&gt;0</formula>
    </cfRule>
  </conditionalFormatting>
  <conditionalFormatting sqref="X1:X1048576">
    <cfRule type="notContainsBlanks" dxfId="48" priority="5">
      <formula>LEN(TRIM(X1))&gt;0</formula>
    </cfRule>
  </conditionalFormatting>
  <conditionalFormatting sqref="Y1:Z1048576">
    <cfRule type="notContainsBlanks" dxfId="47" priority="4">
      <formula>LEN(TRIM(Y1))&gt;0</formula>
    </cfRule>
  </conditionalFormatting>
  <conditionalFormatting sqref="AA32:AA1048576 AA1:AB31">
    <cfRule type="notContainsBlanks" dxfId="46" priority="3">
      <formula>LEN(TRIM(AA1))&gt;0</formula>
    </cfRule>
  </conditionalFormatting>
  <conditionalFormatting sqref="C2:V32">
    <cfRule type="cellIs" dxfId="45" priority="114" operator="equal">
      <formula>$X$1</formula>
    </cfRule>
    <cfRule type="cellIs" dxfId="44" priority="115" operator="equal">
      <formula>$Z$1</formula>
    </cfRule>
    <cfRule type="cellIs" dxfId="43" priority="116" operator="equal">
      <formula>$Y$1</formula>
    </cfRule>
    <cfRule type="cellIs" dxfId="42" priority="117" operator="equal">
      <formula>$AA$1</formula>
    </cfRule>
    <cfRule type="cellIs" dxfId="41" priority="118" operator="equal">
      <formula>$W$1</formula>
    </cfRule>
  </conditionalFormatting>
  <conditionalFormatting sqref="AB1:AB32">
    <cfRule type="notContainsBlanks" dxfId="40" priority="2">
      <formula>LEN(TRIM(AB1))&gt;0</formula>
    </cfRule>
  </conditionalFormatting>
  <conditionalFormatting sqref="C2:U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F24" sqref="AF2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1" width="7.84375" style="3" customWidth="1"/>
    <col min="22" max="22" width="6.3046875" style="3" customWidth="1"/>
    <col min="23" max="23" width="8.53515625" style="3" customWidth="1"/>
    <col min="24" max="28" width="16.84375" style="10" bestFit="1" customWidth="1"/>
    <col min="29" max="29" width="16.84375" style="10" hidden="1" customWidth="1"/>
    <col min="30" max="30" width="22.53515625" style="10" customWidth="1"/>
    <col min="31" max="31" width="7.84375" style="3" customWidth="1"/>
    <col min="32" max="32" width="7.84375" style="5" customWidth="1"/>
    <col min="33" max="35" width="7.84375" style="3" customWidth="1"/>
    <col min="36" max="36" width="7.69140625" style="1" hidden="1" customWidth="1"/>
    <col min="37" max="37" width="26.84375" style="3" customWidth="1"/>
    <col min="38" max="38" width="29.69140625" style="3" customWidth="1"/>
    <col min="39" max="39" width="19.3828125" style="3" customWidth="1"/>
    <col min="40" max="16384" width="8.84375" style="3"/>
  </cols>
  <sheetData>
    <row r="1" spans="1:39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63</v>
      </c>
      <c r="T1" s="1" t="s">
        <v>38</v>
      </c>
      <c r="U1" s="27" t="s">
        <v>42</v>
      </c>
      <c r="X1" s="4" t="s">
        <v>2</v>
      </c>
      <c r="Y1" s="25" t="s">
        <v>23</v>
      </c>
      <c r="Z1" s="25" t="s">
        <v>22</v>
      </c>
      <c r="AA1" s="25" t="s">
        <v>21</v>
      </c>
      <c r="AB1" s="25" t="s">
        <v>3</v>
      </c>
      <c r="AC1" s="4" t="s">
        <v>49</v>
      </c>
      <c r="AD1" s="4"/>
      <c r="AE1" s="4" t="s">
        <v>2</v>
      </c>
      <c r="AF1" s="33" t="s">
        <v>23</v>
      </c>
      <c r="AG1" s="25" t="s">
        <v>22</v>
      </c>
      <c r="AH1" s="25" t="s">
        <v>21</v>
      </c>
      <c r="AI1" s="25" t="s">
        <v>3</v>
      </c>
      <c r="AJ1" s="1" t="s">
        <v>49</v>
      </c>
    </row>
    <row r="2" spans="1:39" x14ac:dyDescent="0.4">
      <c r="A2" s="1" t="s">
        <v>5</v>
      </c>
      <c r="B2" s="9">
        <v>1</v>
      </c>
      <c r="C2" s="1"/>
      <c r="D2" s="1"/>
      <c r="E2" s="1"/>
      <c r="F2" s="1"/>
      <c r="G2" s="1">
        <v>0</v>
      </c>
      <c r="H2" s="1" t="s">
        <v>39</v>
      </c>
      <c r="I2" s="1"/>
      <c r="J2" s="1" t="s">
        <v>39</v>
      </c>
      <c r="K2" s="1" t="s">
        <v>3</v>
      </c>
      <c r="L2" s="1"/>
      <c r="M2" s="1" t="s">
        <v>2</v>
      </c>
      <c r="N2" s="1">
        <v>1</v>
      </c>
      <c r="O2" s="1" t="s">
        <v>39</v>
      </c>
      <c r="P2" s="1">
        <v>0</v>
      </c>
      <c r="Q2" s="1"/>
      <c r="R2" s="1" t="s">
        <v>39</v>
      </c>
      <c r="S2" s="1" t="s">
        <v>39</v>
      </c>
      <c r="T2" s="1"/>
      <c r="U2" s="1"/>
      <c r="W2" s="3" t="s">
        <v>64</v>
      </c>
      <c r="X2" s="1" t="str">
        <f t="shared" ref="X2:X31" si="0">IF(ISBLANK(AE2),IF(COUNTIF($C2:$U2,X$1)&gt;0,"ERROR",""),IF(COUNTIF($C2:$U2,X$1)&lt;1,"NEEDS COVERAGE",IF(COUNTIF($C2:$U2,X$1)&gt;1,"ERROR",IF(ISNA(INDEX($C$1:$U$1,MATCH(X$1,$C2:$U2,0))),"",INDEX($C$1:$U$1,MATCH(X$1,$C2:$U2,0))))))</f>
        <v>Dadashzadeh</v>
      </c>
      <c r="Y2" s="1" t="str">
        <f t="shared" ref="Y2:Y31" si="1">IF(ISBLANK(AF2),IF(COUNTIF($C2:$U2,Y$1)&gt;0,"ERROR",""),IF(COUNTIF($C2:$U2,Y$1)&lt;1,"NEEDS COVERAGE",IF(COUNTIF($C2:$U2,Y$1)&gt;1,"ERROR",IF(ISNA(INDEX($C$1:$U$1,MATCH(Y$1,$C2:$U2,0))),"",INDEX($C$1:$U$1,MATCH(Y$1,$C2:$U2,0))))))</f>
        <v/>
      </c>
      <c r="Z2" s="1" t="str">
        <f t="shared" ref="Z2:Z31" si="2">IF(ISBLANK(AG2),IF(COUNTIF($C2:$U2,Z$1)&gt;0,"ERROR",""),IF(COUNTIF($C2:$U2,Z$1)&lt;1,"NEEDS COVERAGE",IF(COUNTIF($C2:$U2,Z$1)&gt;1,"ERROR",IF(ISNA(INDEX($C$1:$U$1,MATCH(Z$1,$C2:$U2,0))),"",INDEX($C$1:$U$1,MATCH(Z$1,$C2:$U2,0))))))</f>
        <v/>
      </c>
      <c r="AA2" s="1" t="str">
        <f t="shared" ref="AA2:AA31" si="3">IF(ISBLANK(AH2),IF(COUNTIF($C2:$U2,AA$1)&gt;0,"ERROR",""),IF(COUNTIF($C2:$U2,AA$1)&lt;1,"NEEDS COVERAGE",IF(COUNTIF($C2:$U2,AA$1)&gt;1,"ERROR",IF(ISNA(INDEX($C$1:$U$1,MATCH(AA$1,$C2:$U2,0))),"",INDEX($C$1:$U$1,MATCH(AA$1,$C2:$U2,0))))))</f>
        <v/>
      </c>
      <c r="AB2" s="1" t="str">
        <f t="shared" ref="AB2:AB31" si="4">IF(ISBLANK(AI2),IF(COUNTIF($C2:$U2,AB$1)&gt;0,"ERROR",""),IF(COUNTIF($C2:$U2,AB$1)&lt;1,"NEEDS COVERAGE",IF(COUNTIF($C2:$U2,AB$1)&gt;1,"ERROR",IF(ISNA(INDEX($C$1:$U$1,MATCH(AB$1,$C2:$U2,0))),"",INDEX($C$1:$U$1,MATCH(AB$1,$C2:$U2,0))))))</f>
        <v>Tam</v>
      </c>
      <c r="AC2" s="1" t="str">
        <f t="shared" ref="AC2:AC31" si="5">IF(ISBLANK(AJ2),IF(COUNTIF($C2:$U2,AC$1)&gt;0,"ERROR",""),IF(COUNTIF($C2:$U2,AC$1)&lt;1,"NEEDS COVERAGE",IF(COUNTIF($C2:$U2,AC$1)&gt;1,"ERROR",IF(ISNA(INDEX($C$1:$U$1,MATCH(AC$1,$C2:$U2,0))),"",INDEX($C$1:$U$1,MATCH(AC$1,$C2:$U2,0))))))</f>
        <v/>
      </c>
      <c r="AD2" s="1"/>
      <c r="AE2" s="1" t="s">
        <v>39</v>
      </c>
      <c r="AF2" s="2"/>
      <c r="AG2" s="1"/>
      <c r="AH2" s="1"/>
      <c r="AI2" s="1" t="s">
        <v>39</v>
      </c>
      <c r="AK2" s="14"/>
      <c r="AL2" s="15"/>
      <c r="AM2" s="16"/>
    </row>
    <row r="3" spans="1:39" x14ac:dyDescent="0.4">
      <c r="A3" s="1" t="s">
        <v>6</v>
      </c>
      <c r="B3" s="9">
        <v>2</v>
      </c>
      <c r="C3" s="1"/>
      <c r="D3" s="1" t="s">
        <v>39</v>
      </c>
      <c r="E3" s="1"/>
      <c r="F3" s="1"/>
      <c r="G3" s="1"/>
      <c r="H3" s="1" t="s">
        <v>39</v>
      </c>
      <c r="I3" s="1"/>
      <c r="J3" s="1"/>
      <c r="K3" s="1" t="s">
        <v>2</v>
      </c>
      <c r="L3" s="1"/>
      <c r="M3" s="1"/>
      <c r="N3" s="1"/>
      <c r="O3" s="1" t="s">
        <v>39</v>
      </c>
      <c r="P3" s="1"/>
      <c r="Q3" s="1"/>
      <c r="R3" s="1" t="s">
        <v>39</v>
      </c>
      <c r="S3" s="1" t="s">
        <v>39</v>
      </c>
      <c r="T3" s="1"/>
      <c r="U3" s="1"/>
      <c r="W3" s="3" t="s">
        <v>65</v>
      </c>
      <c r="X3" s="1" t="str">
        <f t="shared" si="0"/>
        <v>Tam</v>
      </c>
      <c r="Y3" s="1" t="str">
        <f t="shared" si="1"/>
        <v/>
      </c>
      <c r="Z3" s="1" t="str">
        <f t="shared" si="2"/>
        <v/>
      </c>
      <c r="AA3" s="1" t="str">
        <f t="shared" si="3"/>
        <v/>
      </c>
      <c r="AB3" s="1" t="str">
        <f t="shared" si="4"/>
        <v>NEEDS COVERAGE</v>
      </c>
      <c r="AC3" s="1" t="str">
        <f t="shared" si="5"/>
        <v/>
      </c>
      <c r="AD3" s="1"/>
      <c r="AE3" s="1" t="s">
        <v>39</v>
      </c>
      <c r="AF3" s="2"/>
      <c r="AG3" s="1"/>
      <c r="AH3" s="1"/>
      <c r="AI3" s="1" t="s">
        <v>39</v>
      </c>
      <c r="AK3" s="14"/>
      <c r="AL3" s="17"/>
      <c r="AM3" s="16"/>
    </row>
    <row r="4" spans="1:39" x14ac:dyDescent="0.4">
      <c r="A4" s="1" t="s">
        <v>7</v>
      </c>
      <c r="B4" s="9">
        <v>3</v>
      </c>
      <c r="C4" s="1"/>
      <c r="D4" s="1"/>
      <c r="E4" s="1"/>
      <c r="F4" s="1"/>
      <c r="G4" s="1" t="s">
        <v>23</v>
      </c>
      <c r="H4" s="1" t="s">
        <v>39</v>
      </c>
      <c r="I4" s="1" t="s">
        <v>22</v>
      </c>
      <c r="J4" s="1"/>
      <c r="K4" s="1"/>
      <c r="L4" s="1"/>
      <c r="M4" s="1"/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U4" s="1" t="s">
        <v>39</v>
      </c>
      <c r="X4" s="1" t="str">
        <f t="shared" si="0"/>
        <v/>
      </c>
      <c r="Y4" s="1" t="str">
        <f t="shared" si="1"/>
        <v>Handzel</v>
      </c>
      <c r="Z4" s="1" t="str">
        <f t="shared" si="2"/>
        <v>Okolo</v>
      </c>
      <c r="AA4" s="1" t="str">
        <f t="shared" si="3"/>
        <v/>
      </c>
      <c r="AB4" s="1" t="str">
        <f t="shared" si="4"/>
        <v>NEEDS COVERAGE</v>
      </c>
      <c r="AC4" s="1" t="str">
        <f t="shared" si="5"/>
        <v/>
      </c>
      <c r="AD4" s="1"/>
      <c r="AE4" s="1"/>
      <c r="AF4" s="2" t="s">
        <v>39</v>
      </c>
      <c r="AG4" s="1" t="s">
        <v>39</v>
      </c>
      <c r="AH4" s="1"/>
      <c r="AI4" s="1" t="s">
        <v>39</v>
      </c>
      <c r="AK4" s="14"/>
      <c r="AL4" s="18"/>
      <c r="AM4" s="16"/>
    </row>
    <row r="5" spans="1:39" x14ac:dyDescent="0.4">
      <c r="A5" s="1" t="s">
        <v>8</v>
      </c>
      <c r="B5" s="9">
        <v>4</v>
      </c>
      <c r="C5" s="1"/>
      <c r="D5" s="1"/>
      <c r="E5" s="1" t="s">
        <v>22</v>
      </c>
      <c r="F5" s="1" t="s">
        <v>3</v>
      </c>
      <c r="G5" s="1" t="s">
        <v>39</v>
      </c>
      <c r="H5" s="1" t="s">
        <v>39</v>
      </c>
      <c r="I5" s="1"/>
      <c r="J5" s="1"/>
      <c r="K5" s="1" t="s">
        <v>39</v>
      </c>
      <c r="L5" s="1"/>
      <c r="M5" s="1" t="s">
        <v>23</v>
      </c>
      <c r="N5" s="1" t="s">
        <v>39</v>
      </c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U5" s="1" t="s">
        <v>39</v>
      </c>
      <c r="X5" s="1" t="str">
        <f t="shared" si="0"/>
        <v/>
      </c>
      <c r="Y5" s="1" t="str">
        <f t="shared" si="1"/>
        <v>Dadashzadeh</v>
      </c>
      <c r="Z5" s="1" t="str">
        <f t="shared" si="2"/>
        <v>Yeh</v>
      </c>
      <c r="AA5" s="1" t="str">
        <f t="shared" si="3"/>
        <v/>
      </c>
      <c r="AB5" s="1" t="str">
        <f t="shared" si="4"/>
        <v>Griepentrog</v>
      </c>
      <c r="AC5" s="1" t="str">
        <f t="shared" si="5"/>
        <v/>
      </c>
      <c r="AD5" s="1"/>
      <c r="AE5" s="1"/>
      <c r="AF5" s="2" t="s">
        <v>39</v>
      </c>
      <c r="AG5" s="1" t="s">
        <v>39</v>
      </c>
      <c r="AH5" s="1"/>
      <c r="AI5" s="1" t="s">
        <v>39</v>
      </c>
      <c r="AK5" s="14"/>
      <c r="AL5" s="18"/>
      <c r="AM5" s="16"/>
    </row>
    <row r="6" spans="1:39" x14ac:dyDescent="0.4">
      <c r="A6" s="1" t="s">
        <v>9</v>
      </c>
      <c r="B6" s="9">
        <v>5</v>
      </c>
      <c r="C6" s="1"/>
      <c r="D6" s="1" t="s">
        <v>2</v>
      </c>
      <c r="E6" s="1" t="s">
        <v>39</v>
      </c>
      <c r="F6" s="1"/>
      <c r="G6" s="1"/>
      <c r="H6" s="1" t="s">
        <v>39</v>
      </c>
      <c r="I6" s="1" t="s">
        <v>3</v>
      </c>
      <c r="J6" s="1"/>
      <c r="K6" s="1"/>
      <c r="L6" s="1"/>
      <c r="M6" s="1"/>
      <c r="N6" s="1" t="s">
        <v>23</v>
      </c>
      <c r="O6" s="1" t="s">
        <v>39</v>
      </c>
      <c r="P6" s="1"/>
      <c r="Q6" s="1"/>
      <c r="R6" s="1" t="s">
        <v>39</v>
      </c>
      <c r="S6" s="1" t="s">
        <v>39</v>
      </c>
      <c r="T6" s="1" t="s">
        <v>39</v>
      </c>
      <c r="U6" s="1" t="s">
        <v>39</v>
      </c>
      <c r="W6" s="3" t="s">
        <v>66</v>
      </c>
      <c r="X6" s="1" t="str">
        <f t="shared" si="0"/>
        <v>Van Der Windt</v>
      </c>
      <c r="Y6" s="1" t="str">
        <f t="shared" si="1"/>
        <v>Gallagher</v>
      </c>
      <c r="Z6" s="1" t="str">
        <f t="shared" si="2"/>
        <v/>
      </c>
      <c r="AA6" s="1" t="str">
        <f t="shared" si="3"/>
        <v/>
      </c>
      <c r="AB6" s="1" t="str">
        <f t="shared" si="4"/>
        <v>Okolo</v>
      </c>
      <c r="AC6" s="1" t="str">
        <f t="shared" si="5"/>
        <v/>
      </c>
      <c r="AD6" s="1"/>
      <c r="AE6" s="1" t="s">
        <v>39</v>
      </c>
      <c r="AF6" s="2" t="s">
        <v>39</v>
      </c>
      <c r="AG6" s="1"/>
      <c r="AH6" s="1"/>
      <c r="AI6" s="1" t="s">
        <v>39</v>
      </c>
      <c r="AK6" s="14"/>
      <c r="AL6" s="15"/>
      <c r="AM6" s="16"/>
    </row>
    <row r="7" spans="1:39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 t="s">
        <v>39</v>
      </c>
      <c r="G7" s="1" t="s">
        <v>39</v>
      </c>
      <c r="H7" s="1" t="s">
        <v>39</v>
      </c>
      <c r="I7" s="1" t="s">
        <v>22</v>
      </c>
      <c r="J7" s="1" t="s">
        <v>2</v>
      </c>
      <c r="K7" s="1" t="s">
        <v>3</v>
      </c>
      <c r="L7" s="1"/>
      <c r="M7" s="1"/>
      <c r="N7" s="1" t="s">
        <v>39</v>
      </c>
      <c r="O7" s="1" t="s">
        <v>23</v>
      </c>
      <c r="P7" s="1"/>
      <c r="Q7" s="1"/>
      <c r="R7" s="1" t="s">
        <v>39</v>
      </c>
      <c r="S7" s="1" t="s">
        <v>39</v>
      </c>
      <c r="T7" s="1" t="s">
        <v>39</v>
      </c>
      <c r="U7" s="1" t="s">
        <v>39</v>
      </c>
      <c r="W7" s="3" t="s">
        <v>67</v>
      </c>
      <c r="X7" s="1" t="str">
        <f t="shared" si="0"/>
        <v>Siow</v>
      </c>
      <c r="Y7" s="1" t="str">
        <f t="shared" si="1"/>
        <v>Huckaby</v>
      </c>
      <c r="Z7" s="1" t="str">
        <f t="shared" si="2"/>
        <v>Okolo</v>
      </c>
      <c r="AA7" s="1" t="str">
        <f t="shared" si="3"/>
        <v/>
      </c>
      <c r="AB7" s="1" t="str">
        <f t="shared" si="4"/>
        <v>Tam</v>
      </c>
      <c r="AC7" s="1" t="str">
        <f t="shared" si="5"/>
        <v/>
      </c>
      <c r="AD7" s="1"/>
      <c r="AE7" s="1" t="s">
        <v>39</v>
      </c>
      <c r="AF7" s="2" t="s">
        <v>39</v>
      </c>
      <c r="AG7" s="1" t="s">
        <v>39</v>
      </c>
      <c r="AH7" s="1"/>
      <c r="AI7" s="1" t="s">
        <v>39</v>
      </c>
      <c r="AK7" s="14"/>
      <c r="AL7" s="17"/>
      <c r="AM7" s="16"/>
    </row>
    <row r="8" spans="1:39" x14ac:dyDescent="0.4">
      <c r="A8" s="1" t="s">
        <v>10</v>
      </c>
      <c r="B8" s="9">
        <v>7</v>
      </c>
      <c r="C8" s="1"/>
      <c r="D8" s="1"/>
      <c r="E8" s="1"/>
      <c r="F8" s="1" t="s">
        <v>39</v>
      </c>
      <c r="G8" s="1" t="s">
        <v>39</v>
      </c>
      <c r="H8" s="1" t="s">
        <v>39</v>
      </c>
      <c r="I8" s="1" t="s">
        <v>3</v>
      </c>
      <c r="J8" s="1"/>
      <c r="K8" s="1" t="s">
        <v>39</v>
      </c>
      <c r="L8" s="1"/>
      <c r="M8" s="1" t="s">
        <v>23</v>
      </c>
      <c r="N8" s="1"/>
      <c r="O8" s="1"/>
      <c r="P8" s="1"/>
      <c r="Q8" s="1"/>
      <c r="R8" s="1" t="s">
        <v>39</v>
      </c>
      <c r="S8" s="1" t="s">
        <v>39</v>
      </c>
      <c r="T8" s="1" t="s">
        <v>39</v>
      </c>
      <c r="U8" s="1" t="s">
        <v>39</v>
      </c>
      <c r="X8" s="1" t="str">
        <f t="shared" si="0"/>
        <v/>
      </c>
      <c r="Y8" s="1" t="str">
        <f t="shared" si="1"/>
        <v>Dadashzadeh</v>
      </c>
      <c r="Z8" s="1" t="str">
        <f t="shared" si="2"/>
        <v/>
      </c>
      <c r="AA8" s="1" t="str">
        <f t="shared" si="3"/>
        <v/>
      </c>
      <c r="AB8" s="1" t="str">
        <f t="shared" si="4"/>
        <v>Okolo</v>
      </c>
      <c r="AC8" s="1" t="str">
        <f t="shared" si="5"/>
        <v/>
      </c>
      <c r="AD8" s="1"/>
      <c r="AE8" s="1"/>
      <c r="AF8" s="2" t="s">
        <v>39</v>
      </c>
      <c r="AG8" s="1"/>
      <c r="AH8" s="1"/>
      <c r="AI8" s="1" t="s">
        <v>39</v>
      </c>
      <c r="AK8" s="14"/>
      <c r="AL8" s="18"/>
      <c r="AM8" s="16"/>
    </row>
    <row r="9" spans="1:39" x14ac:dyDescent="0.4">
      <c r="A9" s="1" t="s">
        <v>5</v>
      </c>
      <c r="B9" s="9">
        <v>8</v>
      </c>
      <c r="C9" s="1"/>
      <c r="D9" s="1" t="s">
        <v>22</v>
      </c>
      <c r="E9" s="1" t="s">
        <v>39</v>
      </c>
      <c r="F9" s="1" t="s">
        <v>39</v>
      </c>
      <c r="G9" s="1"/>
      <c r="H9" s="1" t="s">
        <v>39</v>
      </c>
      <c r="I9" s="1"/>
      <c r="J9" s="1"/>
      <c r="K9" s="1" t="s">
        <v>39</v>
      </c>
      <c r="L9" s="1"/>
      <c r="M9" s="1" t="s">
        <v>3</v>
      </c>
      <c r="N9" s="1" t="s">
        <v>39</v>
      </c>
      <c r="O9" s="1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X9" s="1" t="str">
        <f t="shared" si="0"/>
        <v/>
      </c>
      <c r="Y9" s="1" t="str">
        <f t="shared" si="1"/>
        <v/>
      </c>
      <c r="Z9" s="1" t="str">
        <f t="shared" si="2"/>
        <v>Van Der Windt</v>
      </c>
      <c r="AA9" s="1" t="str">
        <f t="shared" si="3"/>
        <v/>
      </c>
      <c r="AB9" s="1" t="str">
        <f t="shared" si="4"/>
        <v>Dadashzadeh</v>
      </c>
      <c r="AC9" s="1" t="str">
        <f t="shared" si="5"/>
        <v/>
      </c>
      <c r="AD9" s="1"/>
      <c r="AE9" s="1"/>
      <c r="AF9" s="2"/>
      <c r="AG9" s="1" t="s">
        <v>39</v>
      </c>
      <c r="AH9" s="1"/>
      <c r="AI9" s="1" t="s">
        <v>39</v>
      </c>
      <c r="AK9" s="14"/>
      <c r="AL9" s="18"/>
      <c r="AM9" s="16"/>
    </row>
    <row r="10" spans="1:39" x14ac:dyDescent="0.4">
      <c r="A10" s="1" t="s">
        <v>6</v>
      </c>
      <c r="B10" s="9">
        <v>9</v>
      </c>
      <c r="C10" s="1"/>
      <c r="D10" s="1"/>
      <c r="E10" s="1" t="s">
        <v>39</v>
      </c>
      <c r="F10" s="1" t="s">
        <v>39</v>
      </c>
      <c r="G10" s="1"/>
      <c r="H10" s="1"/>
      <c r="I10" s="1" t="s">
        <v>2</v>
      </c>
      <c r="J10" s="1"/>
      <c r="K10" s="1" t="s">
        <v>39</v>
      </c>
      <c r="L10" s="1"/>
      <c r="M10" s="1"/>
      <c r="N10" s="1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U10" s="1" t="s">
        <v>39</v>
      </c>
      <c r="W10" s="3" t="s">
        <v>68</v>
      </c>
      <c r="X10" s="1" t="str">
        <f t="shared" si="0"/>
        <v>Okolo</v>
      </c>
      <c r="Y10" s="1" t="str">
        <f t="shared" si="1"/>
        <v/>
      </c>
      <c r="Z10" s="1" t="str">
        <f t="shared" si="2"/>
        <v/>
      </c>
      <c r="AA10" s="1" t="str">
        <f t="shared" si="3"/>
        <v/>
      </c>
      <c r="AB10" s="1" t="str">
        <f t="shared" si="4"/>
        <v>NEEDS COVERAGE</v>
      </c>
      <c r="AC10" s="1" t="str">
        <f t="shared" si="5"/>
        <v/>
      </c>
      <c r="AD10" s="1"/>
      <c r="AE10" s="1" t="s">
        <v>39</v>
      </c>
      <c r="AF10" s="2"/>
      <c r="AG10" s="1"/>
      <c r="AH10" s="1"/>
      <c r="AI10" s="1" t="s">
        <v>39</v>
      </c>
      <c r="AK10" s="14"/>
      <c r="AL10" s="18"/>
      <c r="AM10" s="16"/>
    </row>
    <row r="11" spans="1:39" x14ac:dyDescent="0.4">
      <c r="A11" s="1" t="s">
        <v>7</v>
      </c>
      <c r="B11" s="9">
        <v>10</v>
      </c>
      <c r="C11" s="1"/>
      <c r="D11" s="1"/>
      <c r="E11" s="1" t="s">
        <v>39</v>
      </c>
      <c r="F11" s="1" t="s">
        <v>39</v>
      </c>
      <c r="G11" s="1"/>
      <c r="H11" s="1"/>
      <c r="I11" s="1"/>
      <c r="J11" s="1"/>
      <c r="K11" s="1" t="s">
        <v>39</v>
      </c>
      <c r="L11" s="1"/>
      <c r="M11" s="1"/>
      <c r="N11" s="1" t="s">
        <v>39</v>
      </c>
      <c r="O11" s="1" t="s">
        <v>3</v>
      </c>
      <c r="P11" s="1"/>
      <c r="Q11" s="1" t="s">
        <v>23</v>
      </c>
      <c r="R11" s="1" t="s">
        <v>39</v>
      </c>
      <c r="S11" s="1" t="s">
        <v>39</v>
      </c>
      <c r="T11" s="1" t="s">
        <v>39</v>
      </c>
      <c r="U11" s="1" t="s">
        <v>39</v>
      </c>
      <c r="X11" s="1" t="str">
        <f t="shared" si="0"/>
        <v/>
      </c>
      <c r="Y11" s="1" t="str">
        <f t="shared" si="1"/>
        <v>Myers</v>
      </c>
      <c r="Z11" s="1" t="str">
        <f t="shared" si="2"/>
        <v/>
      </c>
      <c r="AA11" s="1" t="str">
        <f t="shared" si="3"/>
        <v/>
      </c>
      <c r="AB11" s="1" t="str">
        <f t="shared" si="4"/>
        <v>Huckaby</v>
      </c>
      <c r="AC11" s="1" t="str">
        <f t="shared" si="5"/>
        <v/>
      </c>
      <c r="AD11" s="1"/>
      <c r="AE11" s="1"/>
      <c r="AF11" s="2" t="s">
        <v>39</v>
      </c>
      <c r="AG11" s="1"/>
      <c r="AH11" s="1"/>
      <c r="AI11" s="1" t="s">
        <v>39</v>
      </c>
      <c r="AK11" s="14"/>
      <c r="AL11" s="17"/>
      <c r="AM11" s="16"/>
    </row>
    <row r="12" spans="1:39" x14ac:dyDescent="0.4">
      <c r="A12" s="1" t="s">
        <v>8</v>
      </c>
      <c r="B12" s="9">
        <v>11</v>
      </c>
      <c r="C12" s="1" t="s">
        <v>23</v>
      </c>
      <c r="D12" s="1"/>
      <c r="E12" s="1" t="s">
        <v>39</v>
      </c>
      <c r="F12" s="1" t="s">
        <v>39</v>
      </c>
      <c r="G12" s="1" t="s">
        <v>39</v>
      </c>
      <c r="H12" s="1"/>
      <c r="I12" s="1"/>
      <c r="J12" s="1"/>
      <c r="K12" s="1"/>
      <c r="L12" s="1"/>
      <c r="M12" s="1"/>
      <c r="N12" s="1" t="s">
        <v>39</v>
      </c>
      <c r="O12" s="1" t="s">
        <v>39</v>
      </c>
      <c r="P12" s="1" t="s">
        <v>3</v>
      </c>
      <c r="Q12" s="1"/>
      <c r="R12" s="1" t="s">
        <v>39</v>
      </c>
      <c r="S12" s="1" t="s">
        <v>39</v>
      </c>
      <c r="T12" s="1" t="s">
        <v>39</v>
      </c>
      <c r="U12" s="1" t="s">
        <v>39</v>
      </c>
      <c r="X12" s="1" t="str">
        <f t="shared" si="0"/>
        <v/>
      </c>
      <c r="Y12" s="1" t="str">
        <f t="shared" si="1"/>
        <v>Dyer</v>
      </c>
      <c r="Z12" s="1" t="str">
        <f t="shared" si="2"/>
        <v/>
      </c>
      <c r="AA12" s="1" t="str">
        <f t="shared" si="3"/>
        <v/>
      </c>
      <c r="AB12" s="1" t="str">
        <f t="shared" si="4"/>
        <v>Kulkarni</v>
      </c>
      <c r="AC12" s="1" t="str">
        <f t="shared" si="5"/>
        <v/>
      </c>
      <c r="AD12" s="1"/>
      <c r="AE12" s="1"/>
      <c r="AF12" s="2" t="s">
        <v>39</v>
      </c>
      <c r="AG12" s="1"/>
      <c r="AH12" s="1"/>
      <c r="AI12" s="1" t="s">
        <v>39</v>
      </c>
      <c r="AK12" s="14"/>
      <c r="AL12" s="18"/>
      <c r="AM12" s="16"/>
    </row>
    <row r="13" spans="1:39" x14ac:dyDescent="0.4">
      <c r="A13" s="1" t="s">
        <v>9</v>
      </c>
      <c r="B13" s="9">
        <v>12</v>
      </c>
      <c r="C13" s="1"/>
      <c r="D13" s="30"/>
      <c r="E13" s="1"/>
      <c r="F13" s="1" t="s">
        <v>39</v>
      </c>
      <c r="G13" s="1" t="s">
        <v>39</v>
      </c>
      <c r="H13" s="1"/>
      <c r="I13" s="1" t="s">
        <v>23</v>
      </c>
      <c r="J13" s="1"/>
      <c r="K13" s="1"/>
      <c r="L13" s="1"/>
      <c r="M13" s="1"/>
      <c r="N13" s="1" t="s">
        <v>3</v>
      </c>
      <c r="O13" s="1"/>
      <c r="P13" s="1"/>
      <c r="Q13" s="1"/>
      <c r="R13" s="1" t="s">
        <v>39</v>
      </c>
      <c r="S13" s="1" t="s">
        <v>39</v>
      </c>
      <c r="T13" s="1" t="s">
        <v>39</v>
      </c>
      <c r="U13" s="1" t="s">
        <v>39</v>
      </c>
      <c r="X13" s="1" t="str">
        <f t="shared" si="0"/>
        <v/>
      </c>
      <c r="Y13" s="1" t="str">
        <f t="shared" si="1"/>
        <v>Okolo</v>
      </c>
      <c r="Z13" s="1" t="str">
        <f t="shared" si="2"/>
        <v/>
      </c>
      <c r="AA13" s="1" t="str">
        <f t="shared" si="3"/>
        <v/>
      </c>
      <c r="AB13" s="1" t="str">
        <f t="shared" si="4"/>
        <v>Gallagher</v>
      </c>
      <c r="AC13" s="1" t="str">
        <f t="shared" si="5"/>
        <v/>
      </c>
      <c r="AD13" s="1"/>
      <c r="AE13" s="1"/>
      <c r="AF13" s="2" t="s">
        <v>39</v>
      </c>
      <c r="AG13" s="1"/>
      <c r="AH13" s="1"/>
      <c r="AI13" s="1" t="s">
        <v>39</v>
      </c>
      <c r="AK13" s="14"/>
      <c r="AL13" s="18"/>
      <c r="AM13" s="16"/>
    </row>
    <row r="14" spans="1:39" x14ac:dyDescent="0.4">
      <c r="A14" s="1" t="s">
        <v>4</v>
      </c>
      <c r="B14" s="9">
        <v>13</v>
      </c>
      <c r="C14" s="1"/>
      <c r="D14" s="1" t="s">
        <v>39</v>
      </c>
      <c r="E14" s="1" t="s">
        <v>2</v>
      </c>
      <c r="F14" s="1" t="s">
        <v>23</v>
      </c>
      <c r="G14" s="1" t="s">
        <v>39</v>
      </c>
      <c r="H14" s="1"/>
      <c r="I14" s="1"/>
      <c r="J14" s="1"/>
      <c r="K14" s="1"/>
      <c r="L14" s="1"/>
      <c r="M14" s="1" t="s">
        <v>3</v>
      </c>
      <c r="N14" s="1" t="s">
        <v>39</v>
      </c>
      <c r="O14" s="1"/>
      <c r="P14" s="1"/>
      <c r="Q14" s="1"/>
      <c r="R14" s="1" t="s">
        <v>39</v>
      </c>
      <c r="S14" s="1" t="s">
        <v>39</v>
      </c>
      <c r="T14" s="1" t="s">
        <v>39</v>
      </c>
      <c r="U14" s="1" t="s">
        <v>39</v>
      </c>
      <c r="W14" s="3" t="s">
        <v>69</v>
      </c>
      <c r="X14" s="1" t="str">
        <f t="shared" si="0"/>
        <v>Yeh</v>
      </c>
      <c r="Y14" s="1" t="str">
        <f t="shared" si="1"/>
        <v>Griepentrog</v>
      </c>
      <c r="Z14" s="1" t="str">
        <f t="shared" si="2"/>
        <v/>
      </c>
      <c r="AA14" s="1" t="str">
        <f t="shared" si="3"/>
        <v/>
      </c>
      <c r="AB14" s="1" t="str">
        <f t="shared" si="4"/>
        <v>Dadashzadeh</v>
      </c>
      <c r="AC14" s="1" t="str">
        <f t="shared" si="5"/>
        <v/>
      </c>
      <c r="AD14" s="1"/>
      <c r="AE14" s="1" t="s">
        <v>39</v>
      </c>
      <c r="AF14" s="2" t="s">
        <v>39</v>
      </c>
      <c r="AG14" s="1"/>
      <c r="AH14" s="1"/>
      <c r="AI14" s="1" t="s">
        <v>39</v>
      </c>
      <c r="AK14" s="18"/>
      <c r="AL14" s="15"/>
      <c r="AM14" s="16"/>
    </row>
    <row r="15" spans="1:39" x14ac:dyDescent="0.4">
      <c r="A15" s="1" t="s">
        <v>10</v>
      </c>
      <c r="B15" s="9">
        <v>14</v>
      </c>
      <c r="C15" s="1"/>
      <c r="D15" s="1"/>
      <c r="E15" s="1"/>
      <c r="F15" s="1"/>
      <c r="G15" s="1" t="s">
        <v>39</v>
      </c>
      <c r="H15" s="1"/>
      <c r="I15" s="1" t="s">
        <v>39</v>
      </c>
      <c r="J15" s="1" t="s">
        <v>39</v>
      </c>
      <c r="K15" s="1" t="s">
        <v>39</v>
      </c>
      <c r="L15" s="1"/>
      <c r="M15" s="1" t="s">
        <v>39</v>
      </c>
      <c r="N15" s="1" t="s">
        <v>39</v>
      </c>
      <c r="O15" s="1"/>
      <c r="P15" s="1" t="s">
        <v>23</v>
      </c>
      <c r="Q15" s="1" t="s">
        <v>3</v>
      </c>
      <c r="R15" s="1" t="s">
        <v>39</v>
      </c>
      <c r="S15" s="1" t="s">
        <v>39</v>
      </c>
      <c r="T15" s="1" t="s">
        <v>39</v>
      </c>
      <c r="U15" s="1" t="s">
        <v>39</v>
      </c>
      <c r="X15" s="1" t="str">
        <f t="shared" si="0"/>
        <v/>
      </c>
      <c r="Y15" s="1" t="str">
        <f t="shared" si="1"/>
        <v>Kulkarni</v>
      </c>
      <c r="Z15" s="1" t="str">
        <f t="shared" si="2"/>
        <v/>
      </c>
      <c r="AA15" s="1" t="str">
        <f t="shared" si="3"/>
        <v/>
      </c>
      <c r="AB15" s="1" t="str">
        <f t="shared" si="4"/>
        <v>Myers</v>
      </c>
      <c r="AC15" s="1" t="str">
        <f t="shared" si="5"/>
        <v/>
      </c>
      <c r="AD15" s="1"/>
      <c r="AE15" s="1"/>
      <c r="AF15" s="2" t="s">
        <v>39</v>
      </c>
      <c r="AG15" s="1"/>
      <c r="AH15" s="1"/>
      <c r="AI15" s="1" t="s">
        <v>39</v>
      </c>
      <c r="AK15" s="14"/>
      <c r="AL15" s="18"/>
      <c r="AM15" s="16"/>
    </row>
    <row r="16" spans="1:39" x14ac:dyDescent="0.4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 t="s">
        <v>39</v>
      </c>
      <c r="H16" s="1"/>
      <c r="I16" s="1" t="s">
        <v>39</v>
      </c>
      <c r="J16" s="1" t="s">
        <v>39</v>
      </c>
      <c r="K16" s="1" t="s">
        <v>39</v>
      </c>
      <c r="L16" s="1" t="s">
        <v>3</v>
      </c>
      <c r="M16" s="1" t="s">
        <v>39</v>
      </c>
      <c r="N16" s="1" t="s">
        <v>2</v>
      </c>
      <c r="O16" s="1" t="s">
        <v>39</v>
      </c>
      <c r="P16" s="1"/>
      <c r="Q16" s="1"/>
      <c r="R16" s="1" t="s">
        <v>39</v>
      </c>
      <c r="S16" s="1" t="s">
        <v>39</v>
      </c>
      <c r="T16" s="1" t="s">
        <v>39</v>
      </c>
      <c r="U16" s="1" t="s">
        <v>39</v>
      </c>
      <c r="W16" s="3" t="s">
        <v>70</v>
      </c>
      <c r="X16" s="1" t="str">
        <f t="shared" si="0"/>
        <v>Gallagher</v>
      </c>
      <c r="Y16" s="1" t="str">
        <f t="shared" si="1"/>
        <v/>
      </c>
      <c r="Z16" s="1" t="str">
        <f t="shared" si="2"/>
        <v/>
      </c>
      <c r="AA16" s="1" t="str">
        <f t="shared" si="3"/>
        <v/>
      </c>
      <c r="AB16" s="1" t="str">
        <f t="shared" si="4"/>
        <v>Cyr</v>
      </c>
      <c r="AC16" s="1" t="str">
        <f t="shared" si="5"/>
        <v/>
      </c>
      <c r="AD16" s="1"/>
      <c r="AE16" s="1" t="s">
        <v>39</v>
      </c>
      <c r="AF16" s="2"/>
      <c r="AG16" s="1"/>
      <c r="AH16" s="1"/>
      <c r="AI16" s="1" t="s">
        <v>39</v>
      </c>
      <c r="AK16" s="14"/>
      <c r="AL16" s="17"/>
      <c r="AM16" s="16"/>
    </row>
    <row r="17" spans="1:39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 t="s">
        <v>2</v>
      </c>
      <c r="I17" s="1" t="s">
        <v>39</v>
      </c>
      <c r="J17" s="1" t="s">
        <v>39</v>
      </c>
      <c r="K17" s="1" t="s">
        <v>39</v>
      </c>
      <c r="L17" s="1"/>
      <c r="M17" s="1" t="s">
        <v>39</v>
      </c>
      <c r="N17" s="1"/>
      <c r="O17" s="1" t="s">
        <v>39</v>
      </c>
      <c r="P17" s="1"/>
      <c r="Q17" s="1"/>
      <c r="R17" s="1" t="s">
        <v>39</v>
      </c>
      <c r="S17" s="1" t="s">
        <v>39</v>
      </c>
      <c r="T17" s="1" t="s">
        <v>39</v>
      </c>
      <c r="U17" s="1" t="s">
        <v>39</v>
      </c>
      <c r="W17" s="3" t="s">
        <v>71</v>
      </c>
      <c r="X17" s="1" t="str">
        <f t="shared" si="0"/>
        <v>Hill (Kirk)</v>
      </c>
      <c r="Y17" s="1" t="str">
        <f t="shared" si="1"/>
        <v/>
      </c>
      <c r="Z17" s="1" t="str">
        <f t="shared" si="2"/>
        <v/>
      </c>
      <c r="AA17" s="1" t="str">
        <f t="shared" si="3"/>
        <v/>
      </c>
      <c r="AB17" s="1" t="str">
        <f t="shared" si="4"/>
        <v>NEEDS COVERAGE</v>
      </c>
      <c r="AC17" s="1" t="str">
        <f t="shared" si="5"/>
        <v/>
      </c>
      <c r="AD17" s="1"/>
      <c r="AE17" s="1" t="s">
        <v>39</v>
      </c>
      <c r="AF17" s="2"/>
      <c r="AG17" s="1"/>
      <c r="AH17" s="1"/>
      <c r="AI17" s="1" t="s">
        <v>39</v>
      </c>
      <c r="AK17" s="14"/>
      <c r="AL17" s="15"/>
      <c r="AM17" s="16"/>
    </row>
    <row r="18" spans="1:39" x14ac:dyDescent="0.4">
      <c r="A18" s="1" t="s">
        <v>7</v>
      </c>
      <c r="B18" s="9">
        <v>17</v>
      </c>
      <c r="C18" s="1"/>
      <c r="D18" s="1" t="s">
        <v>23</v>
      </c>
      <c r="E18" s="1" t="s">
        <v>39</v>
      </c>
      <c r="F18" s="1" t="s">
        <v>39</v>
      </c>
      <c r="G18" s="1"/>
      <c r="H18" s="1"/>
      <c r="I18" s="1" t="s">
        <v>39</v>
      </c>
      <c r="J18" s="1" t="s">
        <v>39</v>
      </c>
      <c r="K18" s="1" t="s">
        <v>39</v>
      </c>
      <c r="L18" s="1"/>
      <c r="M18" s="1" t="s">
        <v>39</v>
      </c>
      <c r="N18" s="1"/>
      <c r="O18" s="1" t="s">
        <v>3</v>
      </c>
      <c r="P18" s="1"/>
      <c r="Q18" s="1"/>
      <c r="R18" s="1" t="s">
        <v>39</v>
      </c>
      <c r="S18" s="1" t="s">
        <v>39</v>
      </c>
      <c r="T18" s="1" t="s">
        <v>39</v>
      </c>
      <c r="U18" s="1" t="s">
        <v>39</v>
      </c>
      <c r="X18" s="1" t="str">
        <f t="shared" si="0"/>
        <v/>
      </c>
      <c r="Y18" s="1" t="str">
        <f t="shared" si="1"/>
        <v>Van Der Windt</v>
      </c>
      <c r="Z18" s="1" t="str">
        <f t="shared" si="2"/>
        <v/>
      </c>
      <c r="AA18" s="1" t="str">
        <f t="shared" si="3"/>
        <v/>
      </c>
      <c r="AB18" s="1" t="str">
        <f t="shared" si="4"/>
        <v>Huckaby</v>
      </c>
      <c r="AC18" s="1" t="str">
        <f t="shared" si="5"/>
        <v/>
      </c>
      <c r="AD18" s="1"/>
      <c r="AE18" s="1"/>
      <c r="AF18" s="2" t="s">
        <v>39</v>
      </c>
      <c r="AG18" s="1"/>
      <c r="AH18" s="1"/>
      <c r="AI18" s="1" t="s">
        <v>39</v>
      </c>
      <c r="AK18" s="14"/>
      <c r="AL18" s="18"/>
      <c r="AM18" s="16"/>
    </row>
    <row r="19" spans="1:39" x14ac:dyDescent="0.4">
      <c r="A19" s="1" t="s">
        <v>8</v>
      </c>
      <c r="B19" s="9">
        <v>18</v>
      </c>
      <c r="C19" s="1"/>
      <c r="D19" s="1"/>
      <c r="E19" s="1"/>
      <c r="F19" s="1"/>
      <c r="G19" s="1" t="s">
        <v>3</v>
      </c>
      <c r="H19" s="1"/>
      <c r="I19" s="1" t="s">
        <v>39</v>
      </c>
      <c r="J19" s="1" t="s">
        <v>39</v>
      </c>
      <c r="K19" s="1" t="s">
        <v>23</v>
      </c>
      <c r="L19" s="1"/>
      <c r="M19" s="1" t="s">
        <v>39</v>
      </c>
      <c r="N19" s="1"/>
      <c r="O19" s="1" t="s">
        <v>39</v>
      </c>
      <c r="P19" s="1"/>
      <c r="Q19" s="1"/>
      <c r="R19" s="1" t="s">
        <v>39</v>
      </c>
      <c r="S19" s="1" t="s">
        <v>39</v>
      </c>
      <c r="T19" s="1" t="s">
        <v>39</v>
      </c>
      <c r="U19" s="1" t="s">
        <v>39</v>
      </c>
      <c r="X19" s="1" t="str">
        <f t="shared" si="0"/>
        <v/>
      </c>
      <c r="Y19" s="1" t="str">
        <f t="shared" si="1"/>
        <v>Tam</v>
      </c>
      <c r="Z19" s="1" t="str">
        <f t="shared" si="2"/>
        <v/>
      </c>
      <c r="AA19" s="1" t="str">
        <f t="shared" si="3"/>
        <v/>
      </c>
      <c r="AB19" s="1" t="str">
        <f t="shared" si="4"/>
        <v>Handzel</v>
      </c>
      <c r="AC19" s="1" t="str">
        <f t="shared" si="5"/>
        <v/>
      </c>
      <c r="AD19" s="1"/>
      <c r="AE19" s="1"/>
      <c r="AF19" s="2" t="s">
        <v>39</v>
      </c>
      <c r="AG19" s="1"/>
      <c r="AH19" s="1"/>
      <c r="AI19" s="1" t="s">
        <v>39</v>
      </c>
      <c r="AK19" s="14"/>
      <c r="AL19" s="15"/>
      <c r="AM19" s="16"/>
    </row>
    <row r="20" spans="1:39" x14ac:dyDescent="0.4">
      <c r="A20" s="1" t="s">
        <v>9</v>
      </c>
      <c r="B20" s="9">
        <v>19</v>
      </c>
      <c r="C20" s="1"/>
      <c r="D20" s="1"/>
      <c r="E20" s="1" t="s">
        <v>23</v>
      </c>
      <c r="F20" s="1"/>
      <c r="G20" s="1"/>
      <c r="H20" s="1"/>
      <c r="I20" s="1" t="s">
        <v>39</v>
      </c>
      <c r="J20" s="1"/>
      <c r="K20" s="1"/>
      <c r="L20" s="1"/>
      <c r="M20" s="1" t="s">
        <v>39</v>
      </c>
      <c r="N20" s="1" t="s">
        <v>3</v>
      </c>
      <c r="O20" s="1"/>
      <c r="P20" s="1" t="s">
        <v>2</v>
      </c>
      <c r="Q20" s="1"/>
      <c r="R20" s="1" t="s">
        <v>39</v>
      </c>
      <c r="S20" s="1" t="s">
        <v>39</v>
      </c>
      <c r="T20" s="1" t="s">
        <v>39</v>
      </c>
      <c r="U20" s="1" t="s">
        <v>39</v>
      </c>
      <c r="W20" s="3" t="s">
        <v>68</v>
      </c>
      <c r="X20" s="1" t="str">
        <f t="shared" si="0"/>
        <v>Kulkarni</v>
      </c>
      <c r="Y20" s="1" t="str">
        <f t="shared" si="1"/>
        <v>Yeh</v>
      </c>
      <c r="Z20" s="1" t="str">
        <f t="shared" si="2"/>
        <v/>
      </c>
      <c r="AA20" s="1" t="str">
        <f t="shared" si="3"/>
        <v/>
      </c>
      <c r="AB20" s="1" t="str">
        <f t="shared" si="4"/>
        <v>Gallagher</v>
      </c>
      <c r="AC20" s="1" t="str">
        <f t="shared" si="5"/>
        <v/>
      </c>
      <c r="AD20" s="1"/>
      <c r="AE20" s="1" t="s">
        <v>39</v>
      </c>
      <c r="AF20" s="2" t="s">
        <v>39</v>
      </c>
      <c r="AG20" s="1"/>
      <c r="AH20" s="1"/>
      <c r="AI20" s="1" t="s">
        <v>39</v>
      </c>
      <c r="AK20" s="14"/>
      <c r="AL20" s="15"/>
      <c r="AM20" s="16"/>
    </row>
    <row r="21" spans="1:39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/>
      <c r="I21" s="1" t="s">
        <v>39</v>
      </c>
      <c r="J21" s="1"/>
      <c r="K21" s="1"/>
      <c r="L21" s="1"/>
      <c r="M21" s="1" t="s">
        <v>39</v>
      </c>
      <c r="N21" s="1" t="s">
        <v>39</v>
      </c>
      <c r="O21" s="1"/>
      <c r="P21" s="1"/>
      <c r="Q21" s="1" t="s">
        <v>3</v>
      </c>
      <c r="R21" s="1" t="s">
        <v>39</v>
      </c>
      <c r="S21" s="1" t="s">
        <v>39</v>
      </c>
      <c r="T21" s="1" t="s">
        <v>39</v>
      </c>
      <c r="U21" s="1" t="s">
        <v>39</v>
      </c>
      <c r="X21" s="1" t="str">
        <f t="shared" si="0"/>
        <v/>
      </c>
      <c r="Y21" s="1" t="str">
        <f t="shared" si="1"/>
        <v>Handzel</v>
      </c>
      <c r="Z21" s="1" t="str">
        <f t="shared" si="2"/>
        <v/>
      </c>
      <c r="AA21" s="1" t="str">
        <f t="shared" si="3"/>
        <v/>
      </c>
      <c r="AB21" s="1" t="str">
        <f t="shared" si="4"/>
        <v>Myers</v>
      </c>
      <c r="AC21" s="1" t="str">
        <f t="shared" si="5"/>
        <v/>
      </c>
      <c r="AD21" s="1"/>
      <c r="AE21" s="1"/>
      <c r="AF21" s="2" t="s">
        <v>39</v>
      </c>
      <c r="AG21" s="1"/>
      <c r="AH21" s="1"/>
      <c r="AI21" s="1" t="s">
        <v>39</v>
      </c>
      <c r="AK21" s="18"/>
      <c r="AL21" s="21"/>
      <c r="AM21" s="16"/>
    </row>
    <row r="22" spans="1:39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/>
      <c r="H22" s="1" t="s">
        <v>3</v>
      </c>
      <c r="I22" s="1" t="s">
        <v>39</v>
      </c>
      <c r="J22" s="1"/>
      <c r="K22" s="1" t="s">
        <v>39</v>
      </c>
      <c r="L22" s="1"/>
      <c r="M22" s="1" t="s">
        <v>39</v>
      </c>
      <c r="N22" s="1" t="s">
        <v>39</v>
      </c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X22" s="1" t="str">
        <f t="shared" si="0"/>
        <v/>
      </c>
      <c r="Y22" s="1" t="str">
        <f t="shared" si="1"/>
        <v/>
      </c>
      <c r="Z22" s="1" t="str">
        <f t="shared" si="2"/>
        <v/>
      </c>
      <c r="AA22" s="1" t="str">
        <f t="shared" si="3"/>
        <v/>
      </c>
      <c r="AB22" s="1" t="str">
        <f t="shared" si="4"/>
        <v>Hill (Kirk)</v>
      </c>
      <c r="AC22" s="1" t="str">
        <f t="shared" si="5"/>
        <v/>
      </c>
      <c r="AD22" s="1"/>
      <c r="AE22" s="1"/>
      <c r="AF22" s="2"/>
      <c r="AG22" s="1"/>
      <c r="AH22" s="1"/>
      <c r="AI22" s="1" t="s">
        <v>39</v>
      </c>
      <c r="AK22" s="14"/>
      <c r="AL22" s="21"/>
      <c r="AM22" s="16"/>
    </row>
    <row r="23" spans="1:39" x14ac:dyDescent="0.4">
      <c r="A23" s="1" t="s">
        <v>5</v>
      </c>
      <c r="B23" s="9">
        <v>22</v>
      </c>
      <c r="C23" s="1" t="s">
        <v>22</v>
      </c>
      <c r="D23" s="1" t="s">
        <v>39</v>
      </c>
      <c r="E23" s="1" t="s">
        <v>39</v>
      </c>
      <c r="F23" s="1"/>
      <c r="G23" s="1" t="s">
        <v>39</v>
      </c>
      <c r="H23" s="1" t="s">
        <v>23</v>
      </c>
      <c r="I23" s="1" t="s">
        <v>39</v>
      </c>
      <c r="J23" s="1" t="s">
        <v>3</v>
      </c>
      <c r="K23" s="1" t="s">
        <v>39</v>
      </c>
      <c r="L23" s="1" t="s">
        <v>2</v>
      </c>
      <c r="M23" s="1" t="s">
        <v>39</v>
      </c>
      <c r="N23" s="1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W23" s="3" t="s">
        <v>72</v>
      </c>
      <c r="X23" s="1" t="str">
        <f t="shared" si="0"/>
        <v>Cyr</v>
      </c>
      <c r="Y23" s="1" t="str">
        <f t="shared" si="1"/>
        <v>Hill (Kirk)</v>
      </c>
      <c r="Z23" s="1" t="str">
        <f t="shared" si="2"/>
        <v>Dyer</v>
      </c>
      <c r="AA23" s="1" t="str">
        <f t="shared" si="3"/>
        <v/>
      </c>
      <c r="AB23" s="1" t="str">
        <f t="shared" si="4"/>
        <v>Siow</v>
      </c>
      <c r="AC23" s="1" t="str">
        <f t="shared" si="5"/>
        <v/>
      </c>
      <c r="AD23" s="1"/>
      <c r="AE23" s="1" t="s">
        <v>39</v>
      </c>
      <c r="AF23" s="2" t="s">
        <v>39</v>
      </c>
      <c r="AG23" s="1" t="s">
        <v>39</v>
      </c>
      <c r="AH23" s="1"/>
      <c r="AI23" s="1" t="s">
        <v>39</v>
      </c>
      <c r="AK23" s="14"/>
      <c r="AL23" s="21"/>
      <c r="AM23" s="16"/>
    </row>
    <row r="24" spans="1:39" s="5" customFormat="1" x14ac:dyDescent="0.4">
      <c r="A24" s="2" t="s">
        <v>6</v>
      </c>
      <c r="B24" s="20">
        <v>23</v>
      </c>
      <c r="C24" s="2"/>
      <c r="D24" s="2" t="s">
        <v>39</v>
      </c>
      <c r="E24" s="2" t="s">
        <v>39</v>
      </c>
      <c r="F24" s="2"/>
      <c r="G24" s="2" t="s">
        <v>39</v>
      </c>
      <c r="H24" s="2" t="s">
        <v>39</v>
      </c>
      <c r="I24" s="2" t="s">
        <v>39</v>
      </c>
      <c r="J24" s="2" t="s">
        <v>22</v>
      </c>
      <c r="K24" s="2" t="s">
        <v>39</v>
      </c>
      <c r="L24" s="2"/>
      <c r="M24" s="2" t="s">
        <v>39</v>
      </c>
      <c r="N24" s="2" t="s">
        <v>39</v>
      </c>
      <c r="O24" s="2" t="s">
        <v>39</v>
      </c>
      <c r="P24" s="2" t="s">
        <v>39</v>
      </c>
      <c r="Q24" s="2" t="s">
        <v>2</v>
      </c>
      <c r="R24" s="2" t="s">
        <v>39</v>
      </c>
      <c r="S24" s="2" t="s">
        <v>39</v>
      </c>
      <c r="T24" s="2" t="s">
        <v>39</v>
      </c>
      <c r="U24" s="2" t="s">
        <v>39</v>
      </c>
      <c r="V24" s="5" t="s">
        <v>53</v>
      </c>
      <c r="W24" s="5" t="s">
        <v>71</v>
      </c>
      <c r="X24" s="2" t="str">
        <f t="shared" si="0"/>
        <v>Myers</v>
      </c>
      <c r="Y24" s="2" t="str">
        <f t="shared" si="1"/>
        <v/>
      </c>
      <c r="Z24" s="2" t="str">
        <f t="shared" si="2"/>
        <v>Siow</v>
      </c>
      <c r="AA24" s="2" t="str">
        <f t="shared" si="3"/>
        <v/>
      </c>
      <c r="AB24" s="2" t="str">
        <f t="shared" si="4"/>
        <v>NEEDS COVERAGE</v>
      </c>
      <c r="AC24" s="2" t="str">
        <f t="shared" si="5"/>
        <v/>
      </c>
      <c r="AD24" s="2"/>
      <c r="AE24" s="2" t="s">
        <v>39</v>
      </c>
      <c r="AF24" s="2"/>
      <c r="AG24" s="2" t="s">
        <v>39</v>
      </c>
      <c r="AH24" s="2"/>
      <c r="AI24" s="2" t="s">
        <v>39</v>
      </c>
      <c r="AJ24" s="2"/>
      <c r="AK24" s="32"/>
      <c r="AL24" s="31"/>
      <c r="AM24" s="29"/>
    </row>
    <row r="25" spans="1:39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/>
      <c r="K25" s="1" t="s">
        <v>39</v>
      </c>
      <c r="L25" s="1" t="s">
        <v>39</v>
      </c>
      <c r="M25" s="1" t="s">
        <v>39</v>
      </c>
      <c r="N25" s="1" t="s">
        <v>39</v>
      </c>
      <c r="O25" s="1" t="s">
        <v>39</v>
      </c>
      <c r="P25" s="1" t="s">
        <v>39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3" t="s">
        <v>53</v>
      </c>
      <c r="X25" s="1" t="str">
        <f t="shared" si="0"/>
        <v/>
      </c>
      <c r="Y25" s="1" t="str">
        <f t="shared" si="1"/>
        <v/>
      </c>
      <c r="Z25" s="1" t="str">
        <f t="shared" si="2"/>
        <v/>
      </c>
      <c r="AA25" s="1" t="str">
        <f t="shared" si="3"/>
        <v/>
      </c>
      <c r="AB25" s="1" t="str">
        <f t="shared" si="4"/>
        <v>NEEDS COVERAGE</v>
      </c>
      <c r="AC25" s="1" t="str">
        <f t="shared" si="5"/>
        <v/>
      </c>
      <c r="AD25" s="1"/>
      <c r="AE25" s="1"/>
      <c r="AF25" s="2"/>
      <c r="AG25" s="1"/>
      <c r="AH25" s="1"/>
      <c r="AI25" s="1" t="s">
        <v>39</v>
      </c>
      <c r="AK25" s="14"/>
      <c r="AL25" s="21"/>
      <c r="AM25" s="16"/>
    </row>
    <row r="26" spans="1:39" x14ac:dyDescent="0.4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1"/>
      <c r="K26" s="1" t="s">
        <v>39</v>
      </c>
      <c r="L26" s="1" t="s">
        <v>2</v>
      </c>
      <c r="M26" s="1" t="s">
        <v>39</v>
      </c>
      <c r="N26" s="1" t="s">
        <v>39</v>
      </c>
      <c r="O26" s="1" t="s">
        <v>39</v>
      </c>
      <c r="P26" s="1" t="s">
        <v>39</v>
      </c>
      <c r="Q26" s="1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3" t="s">
        <v>53</v>
      </c>
      <c r="W26" s="3" t="s">
        <v>64</v>
      </c>
      <c r="X26" s="1" t="str">
        <f t="shared" si="0"/>
        <v>Cyr</v>
      </c>
      <c r="Y26" s="1" t="str">
        <f t="shared" si="1"/>
        <v/>
      </c>
      <c r="Z26" s="1" t="str">
        <f t="shared" si="2"/>
        <v/>
      </c>
      <c r="AA26" s="1" t="str">
        <f t="shared" si="3"/>
        <v>Myers</v>
      </c>
      <c r="AB26" s="1" t="str">
        <f t="shared" si="4"/>
        <v>Dyer</v>
      </c>
      <c r="AC26" s="1" t="str">
        <f t="shared" si="5"/>
        <v/>
      </c>
      <c r="AD26" s="1"/>
      <c r="AE26" s="1" t="s">
        <v>39</v>
      </c>
      <c r="AF26" s="2"/>
      <c r="AG26" s="1"/>
      <c r="AH26" s="1" t="s">
        <v>39</v>
      </c>
      <c r="AI26" s="1" t="s">
        <v>39</v>
      </c>
      <c r="AK26" s="14"/>
      <c r="AL26" s="21"/>
      <c r="AM26" s="16"/>
    </row>
    <row r="27" spans="1:39" x14ac:dyDescent="0.4">
      <c r="A27" s="1" t="s">
        <v>9</v>
      </c>
      <c r="B27" s="9">
        <v>26</v>
      </c>
      <c r="C27" s="1"/>
      <c r="D27" s="1" t="s">
        <v>3</v>
      </c>
      <c r="E27" s="1" t="s">
        <v>39</v>
      </c>
      <c r="F27" s="1" t="s">
        <v>2</v>
      </c>
      <c r="G27" s="1" t="s">
        <v>39</v>
      </c>
      <c r="H27" s="1" t="s">
        <v>39</v>
      </c>
      <c r="I27" s="1" t="s">
        <v>39</v>
      </c>
      <c r="J27" s="1" t="s">
        <v>22</v>
      </c>
      <c r="K27" s="1" t="s">
        <v>39</v>
      </c>
      <c r="L27" s="1"/>
      <c r="M27" s="1" t="s">
        <v>39</v>
      </c>
      <c r="N27" s="1" t="s">
        <v>39</v>
      </c>
      <c r="O27" s="1" t="s">
        <v>39</v>
      </c>
      <c r="P27" s="1" t="s">
        <v>39</v>
      </c>
      <c r="Q27" s="1"/>
      <c r="R27" s="1" t="s">
        <v>39</v>
      </c>
      <c r="S27" s="1" t="s">
        <v>39</v>
      </c>
      <c r="T27" s="1" t="s">
        <v>39</v>
      </c>
      <c r="U27" s="1" t="s">
        <v>39</v>
      </c>
      <c r="V27" s="3" t="s">
        <v>53</v>
      </c>
      <c r="W27" s="3" t="s">
        <v>67</v>
      </c>
      <c r="X27" s="1" t="str">
        <f t="shared" si="0"/>
        <v>Griepentrog</v>
      </c>
      <c r="Y27" s="1" t="str">
        <f t="shared" si="1"/>
        <v/>
      </c>
      <c r="Z27" s="1" t="str">
        <f t="shared" si="2"/>
        <v>Siow</v>
      </c>
      <c r="AA27" s="1" t="str">
        <f t="shared" si="3"/>
        <v/>
      </c>
      <c r="AB27" s="1" t="str">
        <f t="shared" si="4"/>
        <v>Van Der Windt</v>
      </c>
      <c r="AC27" s="1" t="str">
        <f t="shared" si="5"/>
        <v/>
      </c>
      <c r="AD27" s="1"/>
      <c r="AE27" s="1" t="s">
        <v>39</v>
      </c>
      <c r="AF27" s="2"/>
      <c r="AG27" s="1" t="s">
        <v>39</v>
      </c>
      <c r="AH27" s="1"/>
      <c r="AI27" s="1" t="s">
        <v>39</v>
      </c>
      <c r="AK27" s="14"/>
      <c r="AL27" s="21"/>
      <c r="AM27" s="16"/>
    </row>
    <row r="28" spans="1:39" x14ac:dyDescent="0.4">
      <c r="A28" s="1" t="s">
        <v>4</v>
      </c>
      <c r="B28" s="9">
        <v>27</v>
      </c>
      <c r="C28" s="1" t="s">
        <v>22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</v>
      </c>
      <c r="K28" s="1" t="s">
        <v>39</v>
      </c>
      <c r="L28" s="1"/>
      <c r="M28" s="1" t="s">
        <v>39</v>
      </c>
      <c r="N28" s="1" t="s">
        <v>39</v>
      </c>
      <c r="O28" s="1" t="s">
        <v>39</v>
      </c>
      <c r="P28" s="1" t="s">
        <v>39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3" t="s">
        <v>53</v>
      </c>
      <c r="X28" s="1" t="str">
        <f t="shared" si="0"/>
        <v/>
      </c>
      <c r="Y28" s="1" t="str">
        <f t="shared" si="1"/>
        <v/>
      </c>
      <c r="Z28" s="1" t="str">
        <f t="shared" si="2"/>
        <v>Dyer</v>
      </c>
      <c r="AA28" s="1" t="str">
        <f t="shared" si="3"/>
        <v/>
      </c>
      <c r="AB28" s="1" t="str">
        <f t="shared" si="4"/>
        <v>Siow</v>
      </c>
      <c r="AC28" s="1" t="str">
        <f t="shared" si="5"/>
        <v/>
      </c>
      <c r="AD28" s="1"/>
      <c r="AE28" s="1"/>
      <c r="AF28" s="2"/>
      <c r="AG28" s="1" t="s">
        <v>39</v>
      </c>
      <c r="AH28" s="1"/>
      <c r="AI28" s="1" t="s">
        <v>39</v>
      </c>
      <c r="AK28" s="14"/>
      <c r="AL28" s="21"/>
      <c r="AM28" s="16"/>
    </row>
    <row r="29" spans="1:39" x14ac:dyDescent="0.4">
      <c r="A29" s="1" t="s">
        <v>10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 t="s">
        <v>23</v>
      </c>
      <c r="I29" s="1" t="s">
        <v>39</v>
      </c>
      <c r="J29" s="1"/>
      <c r="K29" s="1" t="s">
        <v>3</v>
      </c>
      <c r="L29" s="1" t="s">
        <v>39</v>
      </c>
      <c r="M29" s="1" t="s">
        <v>39</v>
      </c>
      <c r="N29" s="1"/>
      <c r="O29" s="1"/>
      <c r="P29" s="1" t="s">
        <v>21</v>
      </c>
      <c r="Q29" s="1"/>
      <c r="R29" s="1" t="s">
        <v>39</v>
      </c>
      <c r="S29" s="1" t="s">
        <v>39</v>
      </c>
      <c r="T29" s="1" t="s">
        <v>39</v>
      </c>
      <c r="U29" s="1" t="s">
        <v>39</v>
      </c>
      <c r="X29" s="1" t="str">
        <f t="shared" si="0"/>
        <v/>
      </c>
      <c r="Y29" s="1" t="str">
        <f t="shared" si="1"/>
        <v>Hill (Kirk)</v>
      </c>
      <c r="Z29" s="1" t="str">
        <f t="shared" si="2"/>
        <v/>
      </c>
      <c r="AA29" s="1" t="str">
        <f t="shared" si="3"/>
        <v>Kulkarni</v>
      </c>
      <c r="AB29" s="1" t="str">
        <f t="shared" si="4"/>
        <v>Tam</v>
      </c>
      <c r="AC29" s="1" t="str">
        <f t="shared" si="5"/>
        <v/>
      </c>
      <c r="AD29" s="1"/>
      <c r="AE29" s="1"/>
      <c r="AF29" s="2" t="s">
        <v>39</v>
      </c>
      <c r="AG29" s="1"/>
      <c r="AH29" s="1" t="s">
        <v>39</v>
      </c>
      <c r="AI29" s="1" t="s">
        <v>39</v>
      </c>
      <c r="AK29" s="14"/>
      <c r="AL29" s="21"/>
      <c r="AM29" s="16"/>
    </row>
    <row r="30" spans="1:39" x14ac:dyDescent="0.4">
      <c r="A30" s="1" t="s">
        <v>5</v>
      </c>
      <c r="B30" s="9">
        <v>29</v>
      </c>
      <c r="C30" s="1"/>
      <c r="D30" s="1" t="s">
        <v>3</v>
      </c>
      <c r="E30" s="1"/>
      <c r="F30" s="1"/>
      <c r="G30" s="1" t="s">
        <v>39</v>
      </c>
      <c r="H30" s="1"/>
      <c r="I30" s="1" t="s">
        <v>39</v>
      </c>
      <c r="J30" s="1"/>
      <c r="K30" s="1"/>
      <c r="L30" s="1" t="s">
        <v>39</v>
      </c>
      <c r="M30" s="1" t="s">
        <v>39</v>
      </c>
      <c r="N30" s="1" t="s">
        <v>21</v>
      </c>
      <c r="O30" s="1"/>
      <c r="P30" s="1"/>
      <c r="Q30" s="1"/>
      <c r="R30" s="1" t="s">
        <v>39</v>
      </c>
      <c r="S30" s="1" t="s">
        <v>2</v>
      </c>
      <c r="T30" s="1" t="s">
        <v>39</v>
      </c>
      <c r="U30" s="1" t="s">
        <v>39</v>
      </c>
      <c r="W30" s="3" t="s">
        <v>65</v>
      </c>
      <c r="X30" s="1" t="str">
        <f t="shared" si="0"/>
        <v>Torres</v>
      </c>
      <c r="Y30" s="1" t="str">
        <f t="shared" si="1"/>
        <v/>
      </c>
      <c r="Z30" s="1" t="str">
        <f t="shared" si="2"/>
        <v/>
      </c>
      <c r="AA30" s="1" t="str">
        <f t="shared" si="3"/>
        <v>Gallagher</v>
      </c>
      <c r="AB30" s="1" t="str">
        <f t="shared" si="4"/>
        <v>Van Der Windt</v>
      </c>
      <c r="AC30" s="1" t="str">
        <f t="shared" si="5"/>
        <v/>
      </c>
      <c r="AD30" s="1"/>
      <c r="AE30" s="1" t="s">
        <v>39</v>
      </c>
      <c r="AF30" s="2"/>
      <c r="AG30" s="1"/>
      <c r="AH30" s="1" t="s">
        <v>39</v>
      </c>
      <c r="AI30" s="1" t="s">
        <v>39</v>
      </c>
      <c r="AK30" s="14"/>
      <c r="AL30" s="21"/>
      <c r="AM30" s="16"/>
    </row>
    <row r="31" spans="1:39" x14ac:dyDescent="0.4">
      <c r="A31" s="1" t="s">
        <v>6</v>
      </c>
      <c r="B31" s="9">
        <v>30</v>
      </c>
      <c r="C31" s="1" t="s">
        <v>2</v>
      </c>
      <c r="D31" s="1"/>
      <c r="E31" s="1"/>
      <c r="F31" s="1"/>
      <c r="G31" s="1"/>
      <c r="H31" s="1"/>
      <c r="I31" s="1" t="s">
        <v>39</v>
      </c>
      <c r="J31" s="1" t="s">
        <v>39</v>
      </c>
      <c r="K31" s="1"/>
      <c r="L31" s="1" t="s">
        <v>39</v>
      </c>
      <c r="M31" s="1" t="s">
        <v>39</v>
      </c>
      <c r="N31" s="1"/>
      <c r="O31" s="1"/>
      <c r="P31" s="1"/>
      <c r="Q31" s="1" t="s">
        <v>39</v>
      </c>
      <c r="R31" s="1" t="s">
        <v>39</v>
      </c>
      <c r="S31" s="1" t="s">
        <v>39</v>
      </c>
      <c r="T31" s="1" t="s">
        <v>39</v>
      </c>
      <c r="U31" s="1" t="s">
        <v>39</v>
      </c>
      <c r="V31" s="3" t="s">
        <v>52</v>
      </c>
      <c r="W31" s="3" t="s">
        <v>68</v>
      </c>
      <c r="X31" s="1" t="str">
        <f t="shared" si="0"/>
        <v>Dyer</v>
      </c>
      <c r="Y31" s="1" t="str">
        <f t="shared" si="1"/>
        <v/>
      </c>
      <c r="Z31" s="1" t="str">
        <f t="shared" si="2"/>
        <v/>
      </c>
      <c r="AA31" s="1" t="str">
        <f t="shared" si="3"/>
        <v/>
      </c>
      <c r="AB31" s="1" t="str">
        <f t="shared" si="4"/>
        <v>NEEDS COVERAGE</v>
      </c>
      <c r="AC31" s="1" t="str">
        <f t="shared" si="5"/>
        <v/>
      </c>
      <c r="AD31" s="1"/>
      <c r="AE31" s="1" t="s">
        <v>39</v>
      </c>
      <c r="AF31" s="2"/>
      <c r="AG31" s="1"/>
      <c r="AH31" s="1"/>
      <c r="AI31" s="1" t="s">
        <v>39</v>
      </c>
      <c r="AK31" s="14"/>
      <c r="AL31" s="21"/>
      <c r="AM31" s="16"/>
    </row>
    <row r="32" spans="1:39" x14ac:dyDescent="0.4">
      <c r="A32" s="1" t="s">
        <v>7</v>
      </c>
      <c r="B32" s="9">
        <v>31</v>
      </c>
      <c r="C32" s="1"/>
      <c r="D32" s="1"/>
      <c r="E32" s="1"/>
      <c r="F32" s="1"/>
      <c r="G32" s="1"/>
      <c r="H32" s="1"/>
      <c r="I32" s="1" t="s">
        <v>39</v>
      </c>
      <c r="J32" s="1" t="s">
        <v>39</v>
      </c>
      <c r="K32" s="1"/>
      <c r="L32" s="1" t="s">
        <v>39</v>
      </c>
      <c r="M32" s="1" t="s">
        <v>39</v>
      </c>
      <c r="N32" s="1"/>
      <c r="O32" s="1"/>
      <c r="P32" s="1"/>
      <c r="Q32" s="1" t="s">
        <v>39</v>
      </c>
      <c r="R32" s="1" t="s">
        <v>39</v>
      </c>
      <c r="S32" s="1" t="s">
        <v>39</v>
      </c>
      <c r="T32" s="1" t="s">
        <v>39</v>
      </c>
      <c r="U32" s="1" t="s">
        <v>39</v>
      </c>
      <c r="V32" s="3" t="s">
        <v>52</v>
      </c>
      <c r="X32" s="1" t="str">
        <f>IF(ISBLANK(AE32),"",IF(COUNTIF($C32:$U32,X$1)&lt;1,"NEEDS COVERAGE",IF(COUNTIF($C32:$U32,X$1)&gt;1,"ERROR",IF(ISNA(INDEX($C$1:$U$1,MATCH(X$1,$C32:$U32,0))),"",INDEX($C$1:$U$1,MATCH(X$1,$C32:$U32,0))))))</f>
        <v/>
      </c>
      <c r="Y32" s="1" t="str">
        <f>IF(ISBLANK(AF32),"",IF(COUNTIF($C32:$U32,Y$1)&lt;1,"NEEDS COVERAGE",IF(COUNTIF($C32:$U32,Y$1)&gt;1,"ERROR",IF(ISNA(INDEX($C$1:$U$1,MATCH(Y$1,$C32:$U32,0))),"",INDEX($C$1:$U$1,MATCH(Y$1,$C32:$U32,0))))))</f>
        <v/>
      </c>
      <c r="Z32" s="1" t="str">
        <f>IF(ISBLANK(AG32),"",IF(COUNTIF($C32:$U32,Z$1)&lt;1,"NEEDS COVERAGE",IF(COUNTIF($C32:$U32,Z$1)&gt;1,"ERROR",IF(ISNA(INDEX($C$1:$U$1,MATCH(Z$1,$C32:$U32,0))),"",INDEX($C$1:$U$1,MATCH(Z$1,$C32:$U32,0))))))</f>
        <v/>
      </c>
      <c r="AA32" s="1" t="str">
        <f>IF(ISBLANK(AH32),"",IF(COUNTIF($C32:$U32,AA$1)&lt;1,"NEEDS COVERAGE",IF(COUNTIF($C32:$U32,AA$1)&gt;1,"ERROR",IF(ISNA(INDEX($C$1:$U$1,MATCH(AA$1,$C32:$U32,0))),"",INDEX($C$1:$U$1,MATCH(AA$1,$C32:$U32,0))))))</f>
        <v/>
      </c>
      <c r="AB32" s="1" t="str">
        <f>IF(ISBLANK(AI32),"",IF(COUNTIF($C32:$U32,AB$1)&lt;1,"NEEDS COVERAGE",IF(COUNTIF($C32:$U32,AB$1)&gt;1,"ERROR",IF(ISNA(INDEX($C$1:$U$1,MATCH(AB$1,$C32:$U32,0))),"",INDEX($C$1:$U$1,MATCH(AB$1,$C32:$U32,0))))))</f>
        <v>NEEDS COVERAGE</v>
      </c>
      <c r="AC32" s="1" t="str">
        <f>IF(ISBLANK(AJ32),IF(COUNTIF($C32:$U32,AC$1)&gt;0,"ERROR",""),IF(COUNTIF($C32:$U32,AC$1)&lt;1,"NEEDS COVERAGE",IF(COUNTIF($C32:$U32,AC$1)&gt;1,"ERROR",IF(ISNA(INDEX($C$1:$U$1,MATCH(AC$1,$C32:$U32,0))),"",INDEX($C$1:$U$1,MATCH(AC$1,$C32:$U32,0))))))</f>
        <v/>
      </c>
      <c r="AD32" s="3"/>
      <c r="AE32" s="1"/>
      <c r="AF32" s="2"/>
      <c r="AG32" s="1"/>
      <c r="AH32" s="1"/>
      <c r="AI32" s="1" t="s">
        <v>39</v>
      </c>
      <c r="AK32" s="14"/>
      <c r="AL32" s="21"/>
      <c r="AM32" s="16"/>
    </row>
    <row r="33" spans="1:38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X33" s="6"/>
      <c r="Y33" s="6"/>
      <c r="Z33" s="6"/>
      <c r="AA33" s="6"/>
      <c r="AB33" s="6"/>
      <c r="AC33" s="6"/>
      <c r="AD33" s="6"/>
      <c r="AE33" s="1"/>
      <c r="AF33" s="2"/>
      <c r="AG33" s="1"/>
      <c r="AH33" s="1"/>
      <c r="AI33" s="1"/>
      <c r="AL33" s="21"/>
    </row>
    <row r="34" spans="1:38" x14ac:dyDescent="0.4">
      <c r="A34" s="7" t="s">
        <v>11</v>
      </c>
      <c r="B34" s="19"/>
      <c r="C34" s="7" t="s">
        <v>54</v>
      </c>
      <c r="D34" s="7" t="s">
        <v>61</v>
      </c>
      <c r="E34" s="7" t="s">
        <v>41</v>
      </c>
      <c r="F34" s="7" t="s">
        <v>62</v>
      </c>
      <c r="G34" s="7" t="s">
        <v>41</v>
      </c>
      <c r="H34" s="7" t="s">
        <v>48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54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73</v>
      </c>
      <c r="T34" s="7" t="s">
        <v>51</v>
      </c>
      <c r="U34" s="7" t="s">
        <v>51</v>
      </c>
      <c r="X34" s="6"/>
      <c r="Y34" s="4"/>
      <c r="Z34" s="6"/>
      <c r="AA34" s="6"/>
      <c r="AB34" s="6"/>
      <c r="AC34" s="6"/>
      <c r="AD34" s="6"/>
      <c r="AE34" s="1">
        <f>COUNTIF(AE2:AE32,"x")</f>
        <v>15</v>
      </c>
      <c r="AF34" s="2">
        <f>COUNTIF(AF2:AF31,"x")</f>
        <v>16</v>
      </c>
      <c r="AG34" s="1">
        <f>COUNTIF(AG2:AG31,"x")</f>
        <v>8</v>
      </c>
      <c r="AH34" s="1">
        <f>COUNTIF(AH2:AH31,"x")</f>
        <v>3</v>
      </c>
      <c r="AI34" s="1">
        <f>COUNTIF(AI2:AI31,"x")</f>
        <v>30</v>
      </c>
      <c r="AL34" s="21"/>
    </row>
    <row r="35" spans="1:38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U35" si="6">COUNTIF(D2:D32,"Trauma")+COUNTIF(D2:D32,"CHP*")+COUNTIF(D2:D32,"SHY")+COUNTIF(D2:D32,"CT")+COUNTIF(D2:D32,"6FG")</f>
        <v>5</v>
      </c>
      <c r="E35" s="1">
        <f t="shared" si="6"/>
        <v>3</v>
      </c>
      <c r="F35" s="1">
        <f t="shared" si="6"/>
        <v>3</v>
      </c>
      <c r="G35" s="1">
        <f t="shared" si="6"/>
        <v>3</v>
      </c>
      <c r="H35" s="1">
        <f t="shared" si="6"/>
        <v>4</v>
      </c>
      <c r="I35" s="1">
        <f t="shared" si="6"/>
        <v>6</v>
      </c>
      <c r="J35" s="1">
        <f t="shared" si="6"/>
        <v>5</v>
      </c>
      <c r="K35" s="1">
        <f t="shared" si="6"/>
        <v>5</v>
      </c>
      <c r="L35" s="1">
        <f t="shared" si="6"/>
        <v>3</v>
      </c>
      <c r="M35" s="1">
        <f t="shared" si="6"/>
        <v>5</v>
      </c>
      <c r="N35" s="1">
        <f t="shared" si="6"/>
        <v>5</v>
      </c>
      <c r="O35" s="1">
        <f t="shared" si="6"/>
        <v>3</v>
      </c>
      <c r="P35" s="1">
        <f t="shared" si="6"/>
        <v>4</v>
      </c>
      <c r="Q35" s="1">
        <f t="shared" si="6"/>
        <v>5</v>
      </c>
      <c r="R35" s="1">
        <f t="shared" si="6"/>
        <v>0</v>
      </c>
      <c r="S35" s="1">
        <f t="shared" ref="S35" si="7">COUNTIF(S2:S32,"Trauma")+COUNTIF(S2:S32,"CHP*")+COUNTIF(S2:S32,"SHY")+COUNTIF(S2:S32,"CT")+COUNTIF(S2:S32,"6FG")</f>
        <v>1</v>
      </c>
      <c r="T35" s="1">
        <f t="shared" si="6"/>
        <v>0</v>
      </c>
      <c r="U35" s="1">
        <f t="shared" si="6"/>
        <v>0</v>
      </c>
      <c r="W35" s="3"/>
      <c r="Z35" s="26"/>
      <c r="AA35" s="26"/>
      <c r="AB35" s="26"/>
      <c r="AC35" s="26"/>
      <c r="AD35" s="26"/>
      <c r="AF35" s="34"/>
      <c r="AJ35" s="7"/>
      <c r="AL35" s="21"/>
    </row>
    <row r="36" spans="1:38" x14ac:dyDescent="0.4">
      <c r="A36" s="1" t="s">
        <v>28</v>
      </c>
      <c r="B36" s="9"/>
      <c r="C36" s="9">
        <f>INT(RIGHT(C34))</f>
        <v>6</v>
      </c>
      <c r="D36" s="9">
        <f t="shared" ref="D36:K36" si="8">INT(RIGHT(D34))</f>
        <v>6</v>
      </c>
      <c r="E36" s="9">
        <f t="shared" si="8"/>
        <v>3</v>
      </c>
      <c r="F36" s="9">
        <f t="shared" si="8"/>
        <v>4</v>
      </c>
      <c r="G36" s="9">
        <f t="shared" si="8"/>
        <v>3</v>
      </c>
      <c r="H36" s="9">
        <f t="shared" si="8"/>
        <v>4</v>
      </c>
      <c r="I36" s="9">
        <f t="shared" si="8"/>
        <v>5</v>
      </c>
      <c r="J36" s="9">
        <f t="shared" si="8"/>
        <v>5</v>
      </c>
      <c r="K36" s="9">
        <f t="shared" si="8"/>
        <v>5</v>
      </c>
      <c r="L36" s="9">
        <f t="shared" ref="L36:U36" si="9">INT(RIGHT(L34))</f>
        <v>3</v>
      </c>
      <c r="M36" s="9">
        <f t="shared" si="9"/>
        <v>5</v>
      </c>
      <c r="N36" s="9">
        <f t="shared" si="9"/>
        <v>6</v>
      </c>
      <c r="O36" s="9">
        <f t="shared" si="9"/>
        <v>3</v>
      </c>
      <c r="P36" s="9">
        <f t="shared" si="9"/>
        <v>4</v>
      </c>
      <c r="Q36" s="9">
        <f t="shared" si="9"/>
        <v>5</v>
      </c>
      <c r="R36" s="9">
        <f t="shared" si="9"/>
        <v>0</v>
      </c>
      <c r="S36" s="9">
        <f t="shared" ref="S36" si="10">INT(RIGHT(S34))</f>
        <v>1</v>
      </c>
      <c r="T36" s="9">
        <f t="shared" si="9"/>
        <v>0</v>
      </c>
      <c r="U36" s="9">
        <f t="shared" si="9"/>
        <v>0</v>
      </c>
      <c r="X36" s="13" t="s">
        <v>44</v>
      </c>
      <c r="Y36" s="3">
        <f>SUM(AF34:AI34)</f>
        <v>57</v>
      </c>
      <c r="AL36" s="21"/>
    </row>
    <row r="37" spans="1:38" x14ac:dyDescent="0.4">
      <c r="A37" s="1" t="s">
        <v>30</v>
      </c>
      <c r="B37" s="9"/>
      <c r="C37" s="9">
        <f t="shared" ref="C37:K37" si="11">C36-C35</f>
        <v>1</v>
      </c>
      <c r="D37" s="9">
        <f t="shared" si="11"/>
        <v>1</v>
      </c>
      <c r="E37" s="9">
        <f t="shared" si="11"/>
        <v>0</v>
      </c>
      <c r="F37" s="9">
        <f t="shared" si="11"/>
        <v>1</v>
      </c>
      <c r="G37" s="9">
        <f t="shared" si="11"/>
        <v>0</v>
      </c>
      <c r="H37" s="9">
        <f t="shared" si="11"/>
        <v>0</v>
      </c>
      <c r="I37" s="9">
        <f t="shared" si="11"/>
        <v>-1</v>
      </c>
      <c r="J37" s="9">
        <f t="shared" si="11"/>
        <v>0</v>
      </c>
      <c r="K37" s="9">
        <f t="shared" si="11"/>
        <v>0</v>
      </c>
      <c r="L37" s="9">
        <f t="shared" ref="L37:U37" si="12">L36-L35</f>
        <v>0</v>
      </c>
      <c r="M37" s="9">
        <f t="shared" si="12"/>
        <v>0</v>
      </c>
      <c r="N37" s="9">
        <f t="shared" si="12"/>
        <v>1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ref="S37" si="13">S36-S35</f>
        <v>0</v>
      </c>
      <c r="T37" s="9">
        <f t="shared" si="12"/>
        <v>0</v>
      </c>
      <c r="U37" s="9">
        <f t="shared" si="12"/>
        <v>0</v>
      </c>
      <c r="X37" s="10" t="s">
        <v>45</v>
      </c>
      <c r="Y37" s="3">
        <f>SUM(AE34:AI34)</f>
        <v>72</v>
      </c>
      <c r="AL37" s="21"/>
    </row>
    <row r="38" spans="1:38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X38" s="10" t="s">
        <v>46</v>
      </c>
      <c r="Y38" s="3">
        <f>SUM(D36:U36)</f>
        <v>62</v>
      </c>
      <c r="AL38" s="21"/>
    </row>
    <row r="39" spans="1:38" x14ac:dyDescent="0.4">
      <c r="A39" s="1" t="s">
        <v>2</v>
      </c>
      <c r="B39" s="9"/>
      <c r="C39" s="9">
        <f t="shared" ref="C39:T39" si="14">COUNTIF(C$2:C$32,$A39)</f>
        <v>1</v>
      </c>
      <c r="D39" s="9">
        <f t="shared" si="14"/>
        <v>1</v>
      </c>
      <c r="E39" s="9">
        <f t="shared" si="14"/>
        <v>1</v>
      </c>
      <c r="F39" s="9">
        <f t="shared" si="14"/>
        <v>1</v>
      </c>
      <c r="G39" s="9">
        <f t="shared" si="14"/>
        <v>0</v>
      </c>
      <c r="H39" s="9">
        <f t="shared" si="14"/>
        <v>1</v>
      </c>
      <c r="I39" s="9">
        <f t="shared" si="14"/>
        <v>1</v>
      </c>
      <c r="J39" s="9">
        <f t="shared" si="14"/>
        <v>1</v>
      </c>
      <c r="K39" s="9">
        <f t="shared" si="14"/>
        <v>1</v>
      </c>
      <c r="L39" s="9">
        <f t="shared" si="14"/>
        <v>2</v>
      </c>
      <c r="M39" s="9">
        <f t="shared" si="14"/>
        <v>1</v>
      </c>
      <c r="N39" s="9">
        <f t="shared" si="14"/>
        <v>1</v>
      </c>
      <c r="O39" s="9">
        <f t="shared" si="14"/>
        <v>0</v>
      </c>
      <c r="P39" s="9">
        <f t="shared" si="14"/>
        <v>1</v>
      </c>
      <c r="Q39" s="9">
        <f t="shared" si="14"/>
        <v>1</v>
      </c>
      <c r="R39" s="9">
        <f t="shared" si="14"/>
        <v>0</v>
      </c>
      <c r="S39" s="9"/>
      <c r="T39" s="9">
        <f t="shared" si="14"/>
        <v>0</v>
      </c>
      <c r="U39" s="9">
        <f t="shared" ref="C39:U43" si="15">COUNTIF(U$2:U$32,$A39)</f>
        <v>0</v>
      </c>
      <c r="AL39" s="21"/>
    </row>
    <row r="40" spans="1:38" x14ac:dyDescent="0.4">
      <c r="A40" s="1" t="s">
        <v>22</v>
      </c>
      <c r="B40" s="9"/>
      <c r="C40" s="9">
        <f t="shared" si="15"/>
        <v>2</v>
      </c>
      <c r="D40" s="9">
        <f t="shared" si="15"/>
        <v>1</v>
      </c>
      <c r="E40" s="9">
        <f t="shared" si="15"/>
        <v>1</v>
      </c>
      <c r="F40" s="9">
        <f t="shared" si="15"/>
        <v>0</v>
      </c>
      <c r="G40" s="9">
        <f t="shared" si="15"/>
        <v>0</v>
      </c>
      <c r="H40" s="9">
        <f t="shared" si="15"/>
        <v>0</v>
      </c>
      <c r="I40" s="9">
        <f t="shared" si="15"/>
        <v>2</v>
      </c>
      <c r="J40" s="9">
        <f t="shared" si="15"/>
        <v>2</v>
      </c>
      <c r="K40" s="9">
        <f t="shared" si="15"/>
        <v>0</v>
      </c>
      <c r="L40" s="9">
        <f t="shared" si="15"/>
        <v>0</v>
      </c>
      <c r="M40" s="9">
        <f t="shared" si="15"/>
        <v>0</v>
      </c>
      <c r="N40" s="9">
        <f t="shared" si="15"/>
        <v>0</v>
      </c>
      <c r="O40" s="9">
        <f t="shared" si="15"/>
        <v>0</v>
      </c>
      <c r="P40" s="9">
        <f t="shared" si="15"/>
        <v>0</v>
      </c>
      <c r="Q40" s="9">
        <f t="shared" si="15"/>
        <v>0</v>
      </c>
      <c r="R40" s="9">
        <f t="shared" si="15"/>
        <v>0</v>
      </c>
      <c r="S40" s="9"/>
      <c r="T40" s="9">
        <f t="shared" si="15"/>
        <v>0</v>
      </c>
      <c r="U40" s="9">
        <f t="shared" si="15"/>
        <v>0</v>
      </c>
      <c r="AL40" s="21"/>
    </row>
    <row r="41" spans="1:38" x14ac:dyDescent="0.4">
      <c r="A41" s="1" t="s">
        <v>21</v>
      </c>
      <c r="B41" s="9"/>
      <c r="C41" s="9">
        <f t="shared" si="15"/>
        <v>0</v>
      </c>
      <c r="D41" s="9">
        <f t="shared" si="15"/>
        <v>0</v>
      </c>
      <c r="E41" s="9">
        <f t="shared" si="15"/>
        <v>0</v>
      </c>
      <c r="F41" s="9">
        <f t="shared" si="15"/>
        <v>0</v>
      </c>
      <c r="G41" s="9">
        <f t="shared" si="15"/>
        <v>0</v>
      </c>
      <c r="H41" s="9">
        <f t="shared" si="15"/>
        <v>0</v>
      </c>
      <c r="I41" s="9">
        <f t="shared" si="15"/>
        <v>0</v>
      </c>
      <c r="J41" s="9">
        <f t="shared" si="15"/>
        <v>0</v>
      </c>
      <c r="K41" s="9">
        <f t="shared" si="15"/>
        <v>0</v>
      </c>
      <c r="L41" s="9">
        <f t="shared" si="15"/>
        <v>0</v>
      </c>
      <c r="M41" s="9">
        <f t="shared" si="15"/>
        <v>0</v>
      </c>
      <c r="N41" s="9">
        <f t="shared" si="15"/>
        <v>1</v>
      </c>
      <c r="O41" s="9">
        <f t="shared" si="15"/>
        <v>0</v>
      </c>
      <c r="P41" s="9">
        <f t="shared" si="15"/>
        <v>1</v>
      </c>
      <c r="Q41" s="9">
        <f t="shared" si="15"/>
        <v>1</v>
      </c>
      <c r="R41" s="9">
        <f t="shared" si="15"/>
        <v>0</v>
      </c>
      <c r="S41" s="9"/>
      <c r="T41" s="9">
        <f t="shared" si="15"/>
        <v>0</v>
      </c>
      <c r="U41" s="9">
        <f t="shared" si="15"/>
        <v>0</v>
      </c>
      <c r="AL41" s="21"/>
    </row>
    <row r="42" spans="1:38" x14ac:dyDescent="0.4">
      <c r="A42" s="1" t="s">
        <v>23</v>
      </c>
      <c r="B42" s="9"/>
      <c r="C42" s="9">
        <f t="shared" si="15"/>
        <v>1</v>
      </c>
      <c r="D42" s="9">
        <f t="shared" si="15"/>
        <v>1</v>
      </c>
      <c r="E42" s="9">
        <f t="shared" si="15"/>
        <v>1</v>
      </c>
      <c r="F42" s="9">
        <f t="shared" si="15"/>
        <v>1</v>
      </c>
      <c r="G42" s="9">
        <f t="shared" si="15"/>
        <v>2</v>
      </c>
      <c r="H42" s="9">
        <f t="shared" si="15"/>
        <v>2</v>
      </c>
      <c r="I42" s="9">
        <f t="shared" si="15"/>
        <v>1</v>
      </c>
      <c r="J42" s="9">
        <f t="shared" si="15"/>
        <v>0</v>
      </c>
      <c r="K42" s="9">
        <f t="shared" si="15"/>
        <v>1</v>
      </c>
      <c r="L42" s="9">
        <f t="shared" si="15"/>
        <v>0</v>
      </c>
      <c r="M42" s="9">
        <f t="shared" si="15"/>
        <v>2</v>
      </c>
      <c r="N42" s="9">
        <f t="shared" si="15"/>
        <v>1</v>
      </c>
      <c r="O42" s="9">
        <f t="shared" si="15"/>
        <v>1</v>
      </c>
      <c r="P42" s="9">
        <f t="shared" si="15"/>
        <v>1</v>
      </c>
      <c r="Q42" s="9">
        <f t="shared" si="15"/>
        <v>1</v>
      </c>
      <c r="R42" s="9">
        <f t="shared" si="15"/>
        <v>0</v>
      </c>
      <c r="S42" s="9"/>
      <c r="T42" s="9">
        <f t="shared" si="15"/>
        <v>0</v>
      </c>
      <c r="U42" s="9">
        <f t="shared" si="15"/>
        <v>0</v>
      </c>
      <c r="AL42" s="21"/>
    </row>
    <row r="43" spans="1:38" x14ac:dyDescent="0.4">
      <c r="A43" s="1" t="s">
        <v>3</v>
      </c>
      <c r="B43" s="9"/>
      <c r="C43" s="9">
        <f t="shared" si="15"/>
        <v>1</v>
      </c>
      <c r="D43" s="9">
        <f t="shared" si="15"/>
        <v>2</v>
      </c>
      <c r="E43" s="9">
        <f t="shared" si="15"/>
        <v>0</v>
      </c>
      <c r="F43" s="9">
        <f t="shared" si="15"/>
        <v>1</v>
      </c>
      <c r="G43" s="9">
        <f t="shared" si="15"/>
        <v>1</v>
      </c>
      <c r="H43" s="9">
        <f t="shared" si="15"/>
        <v>1</v>
      </c>
      <c r="I43" s="9">
        <f t="shared" si="15"/>
        <v>2</v>
      </c>
      <c r="J43" s="9">
        <f t="shared" si="15"/>
        <v>2</v>
      </c>
      <c r="K43" s="9">
        <f t="shared" si="15"/>
        <v>3</v>
      </c>
      <c r="L43" s="9">
        <f t="shared" si="15"/>
        <v>1</v>
      </c>
      <c r="M43" s="9">
        <f t="shared" si="15"/>
        <v>2</v>
      </c>
      <c r="N43" s="9">
        <f t="shared" si="15"/>
        <v>2</v>
      </c>
      <c r="O43" s="9">
        <f t="shared" si="15"/>
        <v>2</v>
      </c>
      <c r="P43" s="9">
        <f t="shared" si="15"/>
        <v>1</v>
      </c>
      <c r="Q43" s="9">
        <f t="shared" si="15"/>
        <v>2</v>
      </c>
      <c r="R43" s="9">
        <f t="shared" si="15"/>
        <v>0</v>
      </c>
      <c r="S43" s="9"/>
      <c r="T43" s="9">
        <f t="shared" si="15"/>
        <v>0</v>
      </c>
      <c r="U43" s="9">
        <f t="shared" si="15"/>
        <v>0</v>
      </c>
      <c r="AL43" s="21"/>
    </row>
    <row r="44" spans="1:38" x14ac:dyDescent="0.4">
      <c r="A44" s="1" t="s">
        <v>5</v>
      </c>
      <c r="C44" s="1">
        <f t="shared" ref="C44:U44" si="16">COUNTIFS(C1:C31,"Trauma",$A1:$A31,$A44)+COUNTIFS(C1:C31,"CHP*",$A1:$A31,$A44)+COUNTIFS(C1:C31,"SHY",$A1:$A31,$A44)+COUNTIFS(C1:C31,"CT",$A1:$A31,$A44)</f>
        <v>1</v>
      </c>
      <c r="D44" s="1">
        <f t="shared" si="16"/>
        <v>2</v>
      </c>
      <c r="E44" s="1">
        <f t="shared" si="16"/>
        <v>0</v>
      </c>
      <c r="F44" s="1">
        <f t="shared" si="16"/>
        <v>0</v>
      </c>
      <c r="G44" s="1">
        <f t="shared" si="16"/>
        <v>0</v>
      </c>
      <c r="H44" s="1">
        <f t="shared" si="16"/>
        <v>1</v>
      </c>
      <c r="I44" s="1">
        <f t="shared" si="16"/>
        <v>0</v>
      </c>
      <c r="J44" s="1">
        <f t="shared" si="16"/>
        <v>1</v>
      </c>
      <c r="K44" s="1">
        <f t="shared" si="16"/>
        <v>1</v>
      </c>
      <c r="L44" s="1">
        <f t="shared" ref="L44:R44" si="17">COUNTIFS(L1:L31,"Trauma",$A1:$A31,$A44)+COUNTIFS(L1:L31,"CHP*",$A1:$A31,$A44)+COUNTIFS(L1:L31,"SHY",$A1:$A31,$A44)+COUNTIFS(L1:L31,"CT",$A1:$A31,$A44)</f>
        <v>2</v>
      </c>
      <c r="M44" s="1">
        <f t="shared" si="17"/>
        <v>2</v>
      </c>
      <c r="N44" s="1">
        <f t="shared" si="17"/>
        <v>2</v>
      </c>
      <c r="O44" s="1">
        <f t="shared" si="17"/>
        <v>0</v>
      </c>
      <c r="P44" s="1">
        <f t="shared" si="17"/>
        <v>0</v>
      </c>
      <c r="Q44" s="1">
        <f t="shared" si="17"/>
        <v>0</v>
      </c>
      <c r="R44" s="1">
        <f t="shared" si="17"/>
        <v>0</v>
      </c>
      <c r="S44" s="1"/>
      <c r="T44" s="1"/>
      <c r="U44" s="1">
        <f t="shared" si="16"/>
        <v>0</v>
      </c>
      <c r="AL44" s="21"/>
    </row>
    <row r="45" spans="1:38" x14ac:dyDescent="0.4">
      <c r="A45" s="1" t="s">
        <v>6</v>
      </c>
      <c r="C45" s="1">
        <f t="shared" ref="C45:U45" si="18">COUNTIFS(C2:C32,"Trauma",$A2:$A32,$A45)+COUNTIFS(C2:C32,"CHP*",$A2:$A32,$A45)+COUNTIFS(C2:C32,"SHY",$A2:$A32,$A45)+COUNTIFS(C2:C32,"CT",$A2:$A32,$A45)</f>
        <v>1</v>
      </c>
      <c r="D45" s="1">
        <f t="shared" si="18"/>
        <v>0</v>
      </c>
      <c r="E45" s="1">
        <f t="shared" si="18"/>
        <v>0</v>
      </c>
      <c r="F45" s="1">
        <f t="shared" si="18"/>
        <v>0</v>
      </c>
      <c r="G45" s="1">
        <f t="shared" si="18"/>
        <v>0</v>
      </c>
      <c r="H45" s="1">
        <f t="shared" si="18"/>
        <v>1</v>
      </c>
      <c r="I45" s="1">
        <f t="shared" si="18"/>
        <v>1</v>
      </c>
      <c r="J45" s="1">
        <f t="shared" si="18"/>
        <v>1</v>
      </c>
      <c r="K45" s="1">
        <f t="shared" si="18"/>
        <v>1</v>
      </c>
      <c r="L45" s="1">
        <f t="shared" ref="L45:R45" si="19">COUNTIFS(L2:L32,"Trauma",$A2:$A32,$A45)+COUNTIFS(L2:L32,"CHP*",$A2:$A32,$A45)+COUNTIFS(L2:L32,"SHY",$A2:$A32,$A45)+COUNTIFS(L2:L32,"CT",$A2:$A32,$A45)</f>
        <v>0</v>
      </c>
      <c r="M45" s="1">
        <f t="shared" si="19"/>
        <v>0</v>
      </c>
      <c r="N45" s="1">
        <f t="shared" si="19"/>
        <v>0</v>
      </c>
      <c r="O45" s="1">
        <f t="shared" si="19"/>
        <v>0</v>
      </c>
      <c r="P45" s="1">
        <f t="shared" si="19"/>
        <v>0</v>
      </c>
      <c r="Q45" s="1">
        <f t="shared" si="19"/>
        <v>1</v>
      </c>
      <c r="R45" s="1">
        <f t="shared" si="19"/>
        <v>0</v>
      </c>
      <c r="S45" s="1"/>
      <c r="T45" s="1"/>
      <c r="U45" s="1">
        <f t="shared" si="18"/>
        <v>0</v>
      </c>
      <c r="AL45" s="21"/>
    </row>
    <row r="46" spans="1:38" x14ac:dyDescent="0.4">
      <c r="A46" s="1" t="s">
        <v>7</v>
      </c>
      <c r="C46" s="1">
        <f t="shared" ref="C46:U46" si="20">COUNTIFS(C3:C33,"Trauma",$A3:$A33,$A46)+COUNTIFS(C3:C33,"CHP*",$A3:$A33,$A46)+COUNTIFS(C3:C33,"SHY",$A3:$A33,$A46)+COUNTIFS(C3:C33,"CT",$A3:$A33,$A46)</f>
        <v>0</v>
      </c>
      <c r="D46" s="1">
        <f t="shared" si="20"/>
        <v>1</v>
      </c>
      <c r="E46" s="1">
        <f t="shared" si="20"/>
        <v>0</v>
      </c>
      <c r="F46" s="1">
        <f t="shared" si="20"/>
        <v>0</v>
      </c>
      <c r="G46" s="1">
        <f t="shared" si="20"/>
        <v>1</v>
      </c>
      <c r="H46" s="1">
        <f t="shared" si="20"/>
        <v>0</v>
      </c>
      <c r="I46" s="1">
        <f t="shared" si="20"/>
        <v>1</v>
      </c>
      <c r="J46" s="1">
        <f t="shared" si="20"/>
        <v>0</v>
      </c>
      <c r="K46" s="1">
        <f t="shared" si="20"/>
        <v>0</v>
      </c>
      <c r="L46" s="1">
        <f t="shared" ref="L46:R46" si="21">COUNTIFS(L3:L33,"Trauma",$A3:$A33,$A46)+COUNTIFS(L3:L33,"CHP*",$A3:$A33,$A46)+COUNTIFS(L3:L33,"SHY",$A3:$A33,$A46)+COUNTIFS(L3:L33,"CT",$A3:$A33,$A46)</f>
        <v>0</v>
      </c>
      <c r="M46" s="1">
        <f t="shared" si="21"/>
        <v>0</v>
      </c>
      <c r="N46" s="1">
        <f t="shared" si="21"/>
        <v>0</v>
      </c>
      <c r="O46" s="1">
        <f t="shared" si="21"/>
        <v>2</v>
      </c>
      <c r="P46" s="1">
        <f t="shared" si="21"/>
        <v>0</v>
      </c>
      <c r="Q46" s="1">
        <f t="shared" si="21"/>
        <v>1</v>
      </c>
      <c r="R46" s="1">
        <f t="shared" si="21"/>
        <v>0</v>
      </c>
      <c r="S46" s="1"/>
      <c r="T46" s="1"/>
      <c r="U46" s="1">
        <f t="shared" si="20"/>
        <v>0</v>
      </c>
      <c r="AL46" s="21"/>
    </row>
    <row r="47" spans="1:38" x14ac:dyDescent="0.4">
      <c r="A47" s="1" t="s">
        <v>25</v>
      </c>
      <c r="C47" s="1">
        <f t="shared" ref="C47:U47" si="22">SUM(C44:C46)</f>
        <v>2</v>
      </c>
      <c r="D47" s="1">
        <f t="shared" si="22"/>
        <v>3</v>
      </c>
      <c r="E47" s="1">
        <f t="shared" si="22"/>
        <v>0</v>
      </c>
      <c r="F47" s="1">
        <f t="shared" si="22"/>
        <v>0</v>
      </c>
      <c r="G47" s="1">
        <f t="shared" si="22"/>
        <v>1</v>
      </c>
      <c r="H47" s="1">
        <f t="shared" si="22"/>
        <v>2</v>
      </c>
      <c r="I47" s="1">
        <f t="shared" si="22"/>
        <v>2</v>
      </c>
      <c r="J47" s="1">
        <f t="shared" si="22"/>
        <v>2</v>
      </c>
      <c r="K47" s="1">
        <f t="shared" si="22"/>
        <v>2</v>
      </c>
      <c r="L47" s="1">
        <f t="shared" ref="L47:R47" si="23">SUM(L44:L46)</f>
        <v>2</v>
      </c>
      <c r="M47" s="1">
        <f t="shared" si="23"/>
        <v>2</v>
      </c>
      <c r="N47" s="1">
        <f t="shared" si="23"/>
        <v>2</v>
      </c>
      <c r="O47" s="1">
        <f t="shared" si="23"/>
        <v>2</v>
      </c>
      <c r="P47" s="1">
        <f t="shared" si="23"/>
        <v>0</v>
      </c>
      <c r="Q47" s="1">
        <f t="shared" si="23"/>
        <v>2</v>
      </c>
      <c r="R47" s="1">
        <f t="shared" si="23"/>
        <v>0</v>
      </c>
      <c r="S47" s="1"/>
      <c r="T47" s="1"/>
      <c r="U47" s="1">
        <f t="shared" si="22"/>
        <v>0</v>
      </c>
      <c r="AL47" s="21"/>
    </row>
    <row r="48" spans="1:38" x14ac:dyDescent="0.4">
      <c r="A48" s="1" t="s">
        <v>26</v>
      </c>
      <c r="B48" s="1">
        <f>SUMPRODUCT(COUNTIF(A2:A32,{"Fri";"Sat";"Sun"}))</f>
        <v>15</v>
      </c>
      <c r="C48" s="11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0.4</v>
      </c>
      <c r="H48" s="11">
        <f>SUMPRODUCT(COUNTIFS($A$2:$A$32,{"Fri";"Sat";"Sun"},H$2:H$32,"x"))/$B48</f>
        <v>0.4</v>
      </c>
      <c r="I48" s="11">
        <f>SUMPRODUCT(COUNTIFS($A$2:$A$32,{"Fri";"Sat";"Sun"},I$2:I$32,"x"))/$B48</f>
        <v>0.6</v>
      </c>
      <c r="J48" s="11">
        <f>SUMPRODUCT(COUNTIFS($A$2:$A$32,{"Fri";"Sat";"Sun"},J$2:J$32,"x"))/$B48</f>
        <v>0.4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11">
        <f>SUMPRODUCT(COUNTIFS($A$2:$A$32,{"Fri";"Sat";"Sun"},M$2:M$32,"x"))/$B48</f>
        <v>0.6</v>
      </c>
      <c r="N48" s="11">
        <f>SUMPRODUCT(COUNTIFS($A$2:$A$32,{"Fri";"Sat";"Sun"},N$2:N$32,"x"))/$B48</f>
        <v>0.4</v>
      </c>
      <c r="O48" s="1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11">
        <f>SUMPRODUCT(COUNTIFS($A$2:$A$32,{"Fri";"Sat";"Sun"},Q$2:Q$32,"x"))/$B48</f>
        <v>0.13333333333333333</v>
      </c>
      <c r="R48" s="11">
        <f>SUMPRODUCT(COUNTIFS($A$2:$A$32,{"Fri";"Sat";"Sun"},R$2:R$32,"x"))/$B48</f>
        <v>1</v>
      </c>
      <c r="S48" s="11"/>
      <c r="T48" s="11">
        <f>SUMPRODUCT(COUNTIFS($A$2:$A$32,{"Fri";"Sat";"Sun"},T$2:T$32,"x"))/$B48</f>
        <v>0.8666666666666667</v>
      </c>
      <c r="U48" s="11">
        <f>SUMPRODUCT(COUNTIFS($A$2:$A$32,{"Fri";"Sat";"Sun"},U$2:U$32,"x"))/$B48</f>
        <v>0.8666666666666667</v>
      </c>
      <c r="AL48" s="22"/>
    </row>
    <row r="49" spans="1:38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U49" si="24">COUNTIF(C$2:C$32,"x")/$B49</f>
        <v>3.2258064516129031E-2</v>
      </c>
      <c r="D49" s="11">
        <f t="shared" si="24"/>
        <v>0.35483870967741937</v>
      </c>
      <c r="E49" s="11">
        <f t="shared" si="24"/>
        <v>0.4838709677419355</v>
      </c>
      <c r="F49" s="11">
        <f t="shared" si="24"/>
        <v>0.38709677419354838</v>
      </c>
      <c r="G49" s="11">
        <f t="shared" si="24"/>
        <v>0.54838709677419351</v>
      </c>
      <c r="H49" s="11">
        <f t="shared" si="24"/>
        <v>0.41935483870967744</v>
      </c>
      <c r="I49" s="11">
        <f t="shared" si="24"/>
        <v>0.58064516129032262</v>
      </c>
      <c r="J49" s="11">
        <f t="shared" si="24"/>
        <v>0.25806451612903225</v>
      </c>
      <c r="K49" s="11">
        <f t="shared" si="24"/>
        <v>0.5161290322580645</v>
      </c>
      <c r="L49" s="11">
        <f t="shared" si="24"/>
        <v>0.16129032258064516</v>
      </c>
      <c r="M49" s="11">
        <f t="shared" si="24"/>
        <v>0.58064516129032262</v>
      </c>
      <c r="N49" s="11">
        <f t="shared" si="24"/>
        <v>0.5161290322580645</v>
      </c>
      <c r="O49" s="11">
        <f t="shared" si="24"/>
        <v>0.45161290322580644</v>
      </c>
      <c r="P49" s="11">
        <f t="shared" si="24"/>
        <v>0.16129032258064516</v>
      </c>
      <c r="Q49" s="11">
        <f t="shared" si="24"/>
        <v>6.4516129032258063E-2</v>
      </c>
      <c r="R49" s="11">
        <f t="shared" si="24"/>
        <v>1</v>
      </c>
      <c r="S49" s="11"/>
      <c r="T49" s="11">
        <f t="shared" si="24"/>
        <v>0.93548387096774188</v>
      </c>
      <c r="U49" s="11">
        <f t="shared" si="24"/>
        <v>0.93548387096774188</v>
      </c>
      <c r="AL49" s="21"/>
    </row>
    <row r="50" spans="1:38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50</v>
      </c>
      <c r="U50" s="12" t="s">
        <v>43</v>
      </c>
      <c r="AL50" s="21"/>
    </row>
    <row r="51" spans="1:38" x14ac:dyDescent="0.4">
      <c r="A51" s="12"/>
      <c r="B51" s="12"/>
      <c r="C51" s="3" t="s">
        <v>55</v>
      </c>
      <c r="D51" s="12"/>
      <c r="E51" s="12"/>
      <c r="F51" s="12" t="s">
        <v>56</v>
      </c>
      <c r="G51" s="12"/>
      <c r="H51" s="12"/>
      <c r="I51" s="12"/>
      <c r="J51" s="12"/>
      <c r="K51" s="12" t="s">
        <v>58</v>
      </c>
      <c r="L51" s="12"/>
      <c r="M51" s="12" t="s">
        <v>57</v>
      </c>
      <c r="N51" s="12"/>
      <c r="P51" s="12"/>
      <c r="Q51" s="12"/>
      <c r="T51" s="12"/>
      <c r="AL51" s="21"/>
    </row>
    <row r="52" spans="1:38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59</v>
      </c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38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 t="s">
        <v>60</v>
      </c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38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T54" s="3" t="s">
        <v>39</v>
      </c>
      <c r="U54" s="3" t="s">
        <v>39</v>
      </c>
    </row>
    <row r="57" spans="1:38" x14ac:dyDescent="0.4">
      <c r="C57" s="8"/>
    </row>
  </sheetData>
  <conditionalFormatting sqref="I8:T8 C4:C30 D4:T7 D8:G8 H8:H28 D7:D28 M28:M32 C31:T32 K14:K31 N5:N31 D9:T30 G6:G15 T5:T32 U2:U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G1:AH33 Z1:AA1048576 AG35:AH1048576">
    <cfRule type="notContainsBlanks" dxfId="35" priority="106">
      <formula>LEN(TRIM(Z1))&gt;0</formula>
    </cfRule>
  </conditionalFormatting>
  <conditionalFormatting sqref="C2:U3 L3:L11 R3:U31 C4:T32 U3:U33 T5:U32 R3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T3 L3:L11 N9:N10 N16:N17 N23:N24 N30:N31 R3:T31 T5:T32 R3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Y1:Y34 Y39:Y1048576 AF35:AF1048576 AF1:AF33">
    <cfRule type="notContainsBlanks" dxfId="28" priority="41">
      <formula>LEN(TRIM(Y1))&gt;0</formula>
    </cfRule>
  </conditionalFormatting>
  <conditionalFormatting sqref="AB1:AD1 AB33:AD1048576 AB2:AC32 AI35:AI1048576 AI1:AI33">
    <cfRule type="notContainsBlanks" dxfId="27" priority="40">
      <formula>LEN(TRIM(AB1))&gt;0</formula>
    </cfRule>
  </conditionalFormatting>
  <conditionalFormatting sqref="AE1:AE33 X1 X36:X1048576 AE35:AE1048576 X32:X34">
    <cfRule type="notContainsBlanks" dxfId="26" priority="37">
      <formula>LEN(TRIM(X1))&gt;0</formula>
    </cfRule>
  </conditionalFormatting>
  <conditionalFormatting sqref="Y2:AC32">
    <cfRule type="notContainsBlanks" dxfId="25" priority="107">
      <formula>LEN(TRIM(Y2))&gt;0</formula>
    </cfRule>
  </conditionalFormatting>
  <conditionalFormatting sqref="C47:U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T8 C4:C30 D4:T7 D8:G8 H8:H28 D7:D28 M28:M32 C31:T32 K14:K31 N5:N31 D9:T30 G6:G15 T5:T32 U2:U33">
    <cfRule type="containsText" dxfId="22" priority="102" stopIfTrue="1" operator="containsText" text="Trauma">
      <formula>NOT(ISERROR(SEARCH("Trauma",C2)))</formula>
    </cfRule>
  </conditionalFormatting>
  <conditionalFormatting sqref="A39:U39">
    <cfRule type="expression" dxfId="21" priority="27">
      <formula>$A39="Trauma"</formula>
    </cfRule>
  </conditionalFormatting>
  <conditionalFormatting sqref="A40:U40">
    <cfRule type="expression" dxfId="20" priority="25">
      <formula>$A$40="CHP Sr."</formula>
    </cfRule>
  </conditionalFormatting>
  <conditionalFormatting sqref="A41:U41">
    <cfRule type="expression" dxfId="19" priority="23">
      <formula>$A$41="CHP Jr."</formula>
    </cfRule>
  </conditionalFormatting>
  <conditionalFormatting sqref="A46:U46">
    <cfRule type="expression" dxfId="18" priority="19">
      <formula>$A$46="Sun"</formula>
    </cfRule>
  </conditionalFormatting>
  <conditionalFormatting sqref="A42:U42">
    <cfRule type="expression" dxfId="17" priority="18">
      <formula>$A$42="SHY"</formula>
    </cfRule>
  </conditionalFormatting>
  <conditionalFormatting sqref="A43:U43">
    <cfRule type="expression" dxfId="16" priority="17">
      <formula>$A$43="CT"</formula>
    </cfRule>
  </conditionalFormatting>
  <conditionalFormatting sqref="A44:U44">
    <cfRule type="expression" dxfId="15" priority="16">
      <formula>$A$44="Fri"</formula>
    </cfRule>
  </conditionalFormatting>
  <conditionalFormatting sqref="A45:U45">
    <cfRule type="expression" dxfId="14" priority="15">
      <formula>$A$45="Sat"</formula>
    </cfRule>
  </conditionalFormatting>
  <conditionalFormatting sqref="Y2:AC31">
    <cfRule type="cellIs" dxfId="13" priority="14" operator="equal">
      <formula>"ERROR"</formula>
    </cfRule>
  </conditionalFormatting>
  <conditionalFormatting sqref="Z37:AK37 X38 AM37:XFD37 A37:W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J1:AJ34">
    <cfRule type="notContainsBlanks" dxfId="10" priority="11">
      <formula>LEN(TRIM(AJ1))&gt;0</formula>
    </cfRule>
  </conditionalFormatting>
  <conditionalFormatting sqref="AC1:AC34">
    <cfRule type="notContainsBlanks" dxfId="9" priority="10">
      <formula>LEN(TRIM(AC1))&gt;0</formula>
    </cfRule>
  </conditionalFormatting>
  <conditionalFormatting sqref="C2:U32">
    <cfRule type="cellIs" dxfId="8" priority="9" operator="equal">
      <formula>$AC$1</formula>
    </cfRule>
  </conditionalFormatting>
  <conditionalFormatting sqref="AE34">
    <cfRule type="notContainsBlanks" dxfId="7" priority="5">
      <formula>LEN(TRIM(AE34))&gt;0</formula>
    </cfRule>
  </conditionalFormatting>
  <conditionalFormatting sqref="AG34:AH34">
    <cfRule type="notContainsBlanks" dxfId="6" priority="8">
      <formula>LEN(TRIM(AG34))&gt;0</formula>
    </cfRule>
  </conditionalFormatting>
  <conditionalFormatting sqref="AF34">
    <cfRule type="notContainsBlanks" dxfId="5" priority="7">
      <formula>LEN(TRIM(AF34))&gt;0</formula>
    </cfRule>
  </conditionalFormatting>
  <conditionalFormatting sqref="AI34">
    <cfRule type="notContainsBlanks" dxfId="4" priority="6">
      <formula>LEN(TRIM(AI34))&gt;0</formula>
    </cfRule>
  </conditionalFormatting>
  <conditionalFormatting sqref="AD2:AD31">
    <cfRule type="notContainsBlanks" dxfId="3" priority="4">
      <formula>LEN(TRIM(AD2))&gt;0</formula>
    </cfRule>
  </conditionalFormatting>
  <conditionalFormatting sqref="AD2:AD31">
    <cfRule type="cellIs" dxfId="2" priority="3" operator="equal">
      <formula>"ERROR"</formula>
    </cfRule>
  </conditionalFormatting>
  <conditionalFormatting sqref="X2:X31">
    <cfRule type="notContainsBlanks" dxfId="1" priority="2">
      <formula>LEN(TRIM(X2))&gt;0</formula>
    </cfRule>
  </conditionalFormatting>
  <conditionalFormatting sqref="X2:X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2017-12-18T15:48:17Z</dcterms:modified>
</cp:coreProperties>
</file>