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yJZzN0s9CQ625OjKUtEQKxK84fsi4g4AYXUnAht5CPkpneKuXALUuJSEFd8P5xuOpz8jIpDd8AkLpWugWZBTrQ==" workbookSaltValue="rC029WBL73IfTeWHghifZg==" workbookSpinCount="100000" lockStructure="1"/>
  <bookViews>
    <workbookView xWindow="0" yWindow="0" windowWidth="15615" windowHeight="3630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 s="1"/>
  <c r="Y16" i="3"/>
  <c r="X16" i="5"/>
  <c r="Z16" i="3"/>
  <c r="Y16" i="5" s="1"/>
  <c r="AA16" i="3"/>
  <c r="Z16" i="5" s="1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AA20" i="3"/>
  <c r="Z20" i="5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X36" i="3" s="1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K47" i="3" s="1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J35" i="3"/>
  <c r="J35" i="5"/>
  <c r="K35" i="3"/>
  <c r="K37" i="3" s="1"/>
  <c r="K35" i="5"/>
  <c r="Y4" i="5"/>
  <c r="X6" i="5"/>
  <c r="X10" i="5"/>
  <c r="X14" i="5"/>
  <c r="Z15" i="5"/>
  <c r="Y18" i="5"/>
  <c r="Y20" i="5"/>
  <c r="Y30" i="5"/>
  <c r="X32" i="3"/>
  <c r="W32" i="5"/>
  <c r="Y32" i="3"/>
  <c r="X32" i="5"/>
  <c r="Z32" i="3"/>
  <c r="Y32" i="5"/>
  <c r="AA32" i="3"/>
  <c r="Z32" i="5"/>
  <c r="W32" i="3"/>
  <c r="V32" i="5"/>
  <c r="T37" i="3"/>
  <c r="S37" i="3"/>
  <c r="D47" i="3"/>
  <c r="H47" i="3"/>
  <c r="N47" i="3"/>
  <c r="N37" i="3"/>
  <c r="H37" i="3"/>
  <c r="X38" i="3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X37" i="3" l="1"/>
</calcChain>
</file>

<file path=xl/sharedStrings.xml><?xml version="1.0" encoding="utf-8"?>
<sst xmlns="http://schemas.openxmlformats.org/spreadsheetml/2006/main" count="490" uniqueCount="62">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</sst>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2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H26" sqref="H26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CHP Jr.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>Tam</v>
      </c>
      <c r="Z16" s="13" t="str">
        <f>IF(ISBLANK(Master!AA16),"",Master!AA16)</f>
        <v>Okolo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>NEEDS COVERAGE</v>
      </c>
      <c r="Z19" s="13" t="str">
        <f>IF(ISBLANK(Master!AA19),"",Master!AA19)</f>
        <v>Siow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>SHY</v>
      </c>
      <c r="D21" s="13" t="str">
        <f>IF(ISBLANK(Master!D21),"",Master!D21)</f>
        <v>CHP Jr.</v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Dyer</v>
      </c>
      <c r="X21" s="13" t="str">
        <f>IF(ISBLANK(Master!Y21),"",Master!Y21)</f>
        <v/>
      </c>
      <c r="Y21" s="13" t="str">
        <f>IF(ISBLANK(Master!Z21),"",Master!Z21)</f>
        <v>Van Der Windt</v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>SHY</v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Myers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>CT</v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Cyr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>CT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Tam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6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S30" sqref="S30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5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2"/>
      <c r="T2" s="1" t="s">
        <v>39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25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1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2"/>
      <c r="T3" s="1" t="s">
        <v>39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25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2"/>
      <c r="T4" s="1" t="s">
        <v>39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25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2"/>
      <c r="T5" s="1" t="s">
        <v>39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25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1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2"/>
      <c r="T6" s="1" t="s">
        <v>39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25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2"/>
      <c r="T7" s="1" t="s">
        <v>39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25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1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2"/>
      <c r="T8" s="1" t="s">
        <v>39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25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1" t="s">
        <v>39</v>
      </c>
      <c r="M9" s="1"/>
      <c r="N9" s="1" t="s">
        <v>39</v>
      </c>
      <c r="O9" s="1"/>
      <c r="P9" s="1"/>
      <c r="Q9" s="1" t="s">
        <v>3</v>
      </c>
      <c r="R9" s="1"/>
      <c r="S9" s="2"/>
      <c r="T9" s="1" t="s">
        <v>39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25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1" t="s">
        <v>39</v>
      </c>
      <c r="M10" s="1"/>
      <c r="N10" s="1" t="s">
        <v>39</v>
      </c>
      <c r="O10" s="1"/>
      <c r="P10" s="1"/>
      <c r="Q10" s="1"/>
      <c r="R10" s="1" t="s">
        <v>23</v>
      </c>
      <c r="S10" s="2"/>
      <c r="T10" s="1" t="s">
        <v>39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25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1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2"/>
      <c r="T11" s="1" t="s">
        <v>39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25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1"/>
      <c r="M12" s="1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2" t="s">
        <v>3</v>
      </c>
      <c r="T12" s="1" t="s">
        <v>39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25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2" t="s">
        <v>39</v>
      </c>
      <c r="T13" s="1" t="s">
        <v>39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/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25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 t="s">
        <v>39</v>
      </c>
      <c r="O14" s="1"/>
      <c r="P14" s="1" t="s">
        <v>39</v>
      </c>
      <c r="Q14" s="1" t="s">
        <v>23</v>
      </c>
      <c r="R14" s="1"/>
      <c r="S14" s="2" t="s">
        <v>39</v>
      </c>
      <c r="T14" s="1" t="s">
        <v>39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25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1"/>
      <c r="M15" s="1"/>
      <c r="N15" s="1" t="s">
        <v>39</v>
      </c>
      <c r="O15" s="1" t="s">
        <v>39</v>
      </c>
      <c r="P15" s="1" t="s">
        <v>23</v>
      </c>
      <c r="Q15" s="1"/>
      <c r="R15" s="1"/>
      <c r="S15" s="2"/>
      <c r="T15" s="1" t="s">
        <v>39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25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21</v>
      </c>
      <c r="L16" s="1"/>
      <c r="M16" s="1"/>
      <c r="N16" s="1" t="s">
        <v>39</v>
      </c>
      <c r="O16" s="1"/>
      <c r="P16" s="1"/>
      <c r="Q16" s="1"/>
      <c r="R16" s="1" t="s">
        <v>23</v>
      </c>
      <c r="S16" s="2"/>
      <c r="T16" s="1" t="s">
        <v>39</v>
      </c>
      <c r="V16" s="25"/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>Tam</v>
      </c>
      <c r="AA16" s="1" t="str">
        <f t="shared" si="4"/>
        <v>Okolo</v>
      </c>
      <c r="AB16" s="1"/>
      <c r="AC16" s="1"/>
      <c r="AD16" s="1" t="s">
        <v>39</v>
      </c>
      <c r="AE16" s="1"/>
      <c r="AF16" s="1" t="s">
        <v>39</v>
      </c>
      <c r="AG16" s="1" t="s">
        <v>39</v>
      </c>
      <c r="AI16" s="18"/>
      <c r="AJ16" s="21"/>
      <c r="AK16" s="20"/>
    </row>
    <row r="17" spans="1:37" x14ac:dyDescent="0.25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1" t="s">
        <v>23</v>
      </c>
      <c r="M17" s="1"/>
      <c r="N17" s="1" t="s">
        <v>39</v>
      </c>
      <c r="O17" s="1"/>
      <c r="P17" s="1"/>
      <c r="Q17" s="1"/>
      <c r="R17" s="1"/>
      <c r="S17" s="2"/>
      <c r="T17" s="1" t="s">
        <v>39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25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1"/>
      <c r="M18" s="1" t="s">
        <v>2</v>
      </c>
      <c r="N18" s="1" t="s">
        <v>39</v>
      </c>
      <c r="O18" s="1" t="s">
        <v>3</v>
      </c>
      <c r="P18" s="1"/>
      <c r="Q18" s="1"/>
      <c r="R18" s="1"/>
      <c r="S18" s="2"/>
      <c r="T18" s="1" t="s">
        <v>39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25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 t="s">
        <v>3</v>
      </c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2"/>
      <c r="T19" s="1" t="s">
        <v>39</v>
      </c>
      <c r="W19" s="1" t="str">
        <f t="shared" si="0"/>
        <v>Myers</v>
      </c>
      <c r="X19" s="1" t="str">
        <f t="shared" si="1"/>
        <v/>
      </c>
      <c r="Y19" s="1" t="str">
        <f t="shared" si="2"/>
        <v/>
      </c>
      <c r="Z19" s="1" t="str">
        <f t="shared" si="3"/>
        <v>NEEDS COVERAGE</v>
      </c>
      <c r="AA19" s="1" t="str">
        <f t="shared" si="4"/>
        <v>Siow</v>
      </c>
      <c r="AB19" s="1"/>
      <c r="AC19" s="1" t="s">
        <v>39</v>
      </c>
      <c r="AD19" s="1"/>
      <c r="AE19" s="1"/>
      <c r="AF19" s="1" t="s">
        <v>39</v>
      </c>
      <c r="AG19" s="1" t="s">
        <v>39</v>
      </c>
      <c r="AI19" s="18"/>
      <c r="AJ19" s="19"/>
      <c r="AK19" s="20"/>
    </row>
    <row r="20" spans="1:37" x14ac:dyDescent="0.25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2"/>
      <c r="T20" s="1" t="s">
        <v>39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25">
      <c r="A21" s="1" t="s">
        <v>7</v>
      </c>
      <c r="B21" s="9">
        <v>20</v>
      </c>
      <c r="C21" s="1" t="s">
        <v>23</v>
      </c>
      <c r="D21" s="1" t="s">
        <v>21</v>
      </c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/>
      <c r="R21" s="1"/>
      <c r="S21" s="2"/>
      <c r="T21" s="1" t="s">
        <v>39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>Van Der Windt</v>
      </c>
      <c r="AA21" s="1" t="str">
        <f t="shared" si="4"/>
        <v>NEEDS COVERAGE</v>
      </c>
      <c r="AB21" s="1"/>
      <c r="AC21" s="1"/>
      <c r="AD21" s="1" t="s">
        <v>39</v>
      </c>
      <c r="AE21" s="1"/>
      <c r="AF21" s="1" t="s">
        <v>39</v>
      </c>
      <c r="AG21" s="1" t="s">
        <v>39</v>
      </c>
      <c r="AI21" s="22"/>
      <c r="AJ21" s="29"/>
      <c r="AK21" s="20"/>
    </row>
    <row r="22" spans="1:37" x14ac:dyDescent="0.25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 t="s">
        <v>3</v>
      </c>
      <c r="O22" s="1" t="s">
        <v>39</v>
      </c>
      <c r="P22" s="1"/>
      <c r="Q22" s="1" t="s">
        <v>23</v>
      </c>
      <c r="R22" s="1" t="s">
        <v>2</v>
      </c>
      <c r="S22" s="2"/>
      <c r="T22" s="1" t="s">
        <v>39</v>
      </c>
      <c r="W22" s="1" t="str">
        <f t="shared" si="0"/>
        <v>Nicholson</v>
      </c>
      <c r="X22" s="1" t="str">
        <f t="shared" si="1"/>
        <v>Myers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9"/>
      <c r="AK22" s="20"/>
    </row>
    <row r="23" spans="1:37" x14ac:dyDescent="0.25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1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2"/>
      <c r="T23" s="1" t="s">
        <v>39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29"/>
      <c r="AK23" s="20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1" t="s">
        <v>39</v>
      </c>
      <c r="I24" s="1"/>
      <c r="J24" s="1"/>
      <c r="K24" s="1"/>
      <c r="L24" s="1"/>
      <c r="M24" s="1" t="s">
        <v>39</v>
      </c>
      <c r="N24" s="1" t="s">
        <v>2</v>
      </c>
      <c r="O24" s="1"/>
      <c r="P24" s="1"/>
      <c r="Q24" s="1" t="s">
        <v>3</v>
      </c>
      <c r="R24" s="1"/>
      <c r="S24" s="2"/>
      <c r="T24" s="1" t="s">
        <v>39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9"/>
      <c r="AK24" s="20"/>
    </row>
    <row r="25" spans="1:37" x14ac:dyDescent="0.25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 t="s">
        <v>3</v>
      </c>
      <c r="J25" s="1"/>
      <c r="K25" s="1" t="s">
        <v>39</v>
      </c>
      <c r="L25" s="1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2"/>
      <c r="T25" s="1" t="s">
        <v>39</v>
      </c>
      <c r="W25" s="1" t="str">
        <f t="shared" si="0"/>
        <v/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9"/>
      <c r="AK25" s="20"/>
    </row>
    <row r="26" spans="1:37" x14ac:dyDescent="0.25">
      <c r="A26" s="1" t="s">
        <v>5</v>
      </c>
      <c r="B26" s="9">
        <v>25</v>
      </c>
      <c r="C26" s="1" t="s">
        <v>39</v>
      </c>
      <c r="D26" s="1"/>
      <c r="E26" s="1" t="s">
        <v>39</v>
      </c>
      <c r="F26" s="1" t="s">
        <v>3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 t="s">
        <v>39</v>
      </c>
      <c r="M26" s="1" t="s">
        <v>39</v>
      </c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2"/>
      <c r="T26" s="1" t="s">
        <v>39</v>
      </c>
      <c r="W26" s="1" t="str">
        <f t="shared" si="0"/>
        <v>Tam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Griepentrog</v>
      </c>
      <c r="AB26" s="1"/>
      <c r="AC26" s="1" t="s">
        <v>39</v>
      </c>
      <c r="AD26" s="1"/>
      <c r="AE26" s="1"/>
      <c r="AF26" s="1"/>
      <c r="AG26" s="1" t="s">
        <v>39</v>
      </c>
      <c r="AI26" s="18"/>
      <c r="AJ26" s="29"/>
      <c r="AK26" s="20"/>
    </row>
    <row r="27" spans="1:37" x14ac:dyDescent="0.25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1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2"/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/>
      <c r="AC27" s="1"/>
      <c r="AD27" s="1"/>
      <c r="AE27" s="1"/>
      <c r="AF27" s="1"/>
      <c r="AG27" s="1" t="s">
        <v>39</v>
      </c>
      <c r="AI27" s="18"/>
      <c r="AJ27" s="29"/>
      <c r="AK27" s="20"/>
    </row>
    <row r="28" spans="1:37" x14ac:dyDescent="0.25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2"/>
      <c r="T28" s="1" t="s">
        <v>39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8"/>
      <c r="AJ28" s="29"/>
      <c r="AK28" s="20"/>
    </row>
    <row r="29" spans="1:37" x14ac:dyDescent="0.25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/>
      <c r="L29" s="1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2"/>
      <c r="T29" s="1" t="s">
        <v>39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9"/>
      <c r="AK29" s="20"/>
    </row>
    <row r="30" spans="1:37" s="5" customFormat="1" x14ac:dyDescent="0.25">
      <c r="A30" s="2" t="s">
        <v>9</v>
      </c>
      <c r="B30" s="27">
        <v>29</v>
      </c>
      <c r="C30" s="2"/>
      <c r="D30" s="2"/>
      <c r="E30" s="2"/>
      <c r="F30" s="2"/>
      <c r="G30" s="2" t="s">
        <v>3</v>
      </c>
      <c r="H30" s="2"/>
      <c r="I30" s="2"/>
      <c r="J30" s="2"/>
      <c r="K30" s="2" t="s">
        <v>39</v>
      </c>
      <c r="L30" s="2"/>
      <c r="M30" s="2"/>
      <c r="N30" s="2"/>
      <c r="O30" s="2" t="s">
        <v>23</v>
      </c>
      <c r="P30" s="2"/>
      <c r="Q30" s="2"/>
      <c r="R30" s="2"/>
      <c r="S30" s="2"/>
      <c r="T30" s="2" t="s">
        <v>39</v>
      </c>
      <c r="W30" s="2" t="str">
        <f t="shared" si="0"/>
        <v/>
      </c>
      <c r="X30" s="2" t="str">
        <f t="shared" si="1"/>
        <v>Huckaby</v>
      </c>
      <c r="Y30" s="2" t="str">
        <f t="shared" si="2"/>
        <v/>
      </c>
      <c r="Z30" s="2" t="str">
        <f t="shared" si="3"/>
        <v/>
      </c>
      <c r="AA30" s="2" t="str">
        <f t="shared" si="4"/>
        <v>Handzel</v>
      </c>
      <c r="AB30" s="2"/>
      <c r="AC30" s="2"/>
      <c r="AD30" s="2" t="s">
        <v>39</v>
      </c>
      <c r="AE30" s="2"/>
      <c r="AF30" s="2"/>
      <c r="AG30" s="2" t="s">
        <v>39</v>
      </c>
      <c r="AI30" s="31"/>
      <c r="AJ30" s="32"/>
      <c r="AK30" s="28"/>
    </row>
    <row r="31" spans="1:37" x14ac:dyDescent="0.25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 t="s">
        <v>3</v>
      </c>
      <c r="M31" s="1" t="s">
        <v>39</v>
      </c>
      <c r="N31" s="1"/>
      <c r="O31" s="1"/>
      <c r="P31" s="1" t="s">
        <v>23</v>
      </c>
      <c r="Q31" s="1"/>
      <c r="R31" s="1"/>
      <c r="S31" s="2"/>
      <c r="T31" s="1" t="s">
        <v>39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Cyr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29"/>
      <c r="AK31" s="20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 t="s">
        <v>3</v>
      </c>
      <c r="L32" s="1"/>
      <c r="M32" s="1" t="s">
        <v>39</v>
      </c>
      <c r="N32" s="1" t="s">
        <v>39</v>
      </c>
      <c r="O32" s="1"/>
      <c r="P32" s="1"/>
      <c r="Q32" s="1"/>
      <c r="R32" s="1"/>
      <c r="S32" s="2"/>
      <c r="T32" s="1" t="s">
        <v>39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Tam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9"/>
      <c r="AK32" s="20"/>
    </row>
    <row r="33" spans="1:36" x14ac:dyDescent="0.25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9"/>
    </row>
    <row r="34" spans="1:36" x14ac:dyDescent="0.25">
      <c r="A34" s="7" t="s">
        <v>11</v>
      </c>
      <c r="B34" s="24"/>
      <c r="C34" s="7" t="s">
        <v>41</v>
      </c>
      <c r="D34" s="7" t="s">
        <v>59</v>
      </c>
      <c r="E34" s="7" t="s">
        <v>41</v>
      </c>
      <c r="F34" s="7" t="s">
        <v>41</v>
      </c>
      <c r="G34" s="7" t="s">
        <v>54</v>
      </c>
      <c r="H34" s="7" t="s">
        <v>41</v>
      </c>
      <c r="I34" s="7" t="s">
        <v>54</v>
      </c>
      <c r="J34" s="7" t="s">
        <v>54</v>
      </c>
      <c r="K34" s="7" t="s">
        <v>54</v>
      </c>
      <c r="L34" s="7" t="s">
        <v>58</v>
      </c>
      <c r="M34" s="7" t="s">
        <v>54</v>
      </c>
      <c r="N34" s="7" t="s">
        <v>58</v>
      </c>
      <c r="O34" s="7" t="s">
        <v>54</v>
      </c>
      <c r="P34" s="7" t="s">
        <v>59</v>
      </c>
      <c r="Q34" s="7" t="s">
        <v>54</v>
      </c>
      <c r="R34" s="7" t="s">
        <v>61</v>
      </c>
      <c r="S34" s="33" t="s">
        <v>57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5</v>
      </c>
      <c r="AF34" s="1">
        <f>COUNTIF(AF2:AF31,"x")</f>
        <v>3</v>
      </c>
      <c r="AG34" s="1">
        <f>COUNTIF(AG2:AG31,"x")</f>
        <v>30</v>
      </c>
      <c r="AJ34" s="29"/>
    </row>
    <row r="35" spans="1:36" s="8" customFormat="1" x14ac:dyDescent="0.25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5</v>
      </c>
      <c r="J35" s="1">
        <f t="shared" si="5"/>
        <v>5</v>
      </c>
      <c r="K35" s="1">
        <f t="shared" si="5"/>
        <v>6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2">
        <f t="shared" si="6"/>
        <v>1</v>
      </c>
      <c r="T35" s="1">
        <v>0</v>
      </c>
      <c r="V35" s="3"/>
      <c r="Y35" s="26"/>
      <c r="Z35" s="26"/>
      <c r="AA35" s="26"/>
      <c r="AB35" s="26"/>
      <c r="AJ35" s="29"/>
    </row>
    <row r="36" spans="1:36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27">
        <f t="shared" si="8"/>
        <v>1</v>
      </c>
      <c r="T36" s="9">
        <f t="shared" si="8"/>
        <v>0</v>
      </c>
      <c r="W36" s="17" t="s">
        <v>46</v>
      </c>
      <c r="X36" s="3">
        <f>SUM(AC34:AF34)</f>
        <v>45</v>
      </c>
      <c r="AJ36" s="29"/>
    </row>
    <row r="37" spans="1:36" x14ac:dyDescent="0.25">
      <c r="A37" s="1" t="s">
        <v>30</v>
      </c>
      <c r="B37" s="9"/>
      <c r="C37" s="9">
        <f t="shared" ref="C37:T37" si="9">C36-C35</f>
        <v>0</v>
      </c>
      <c r="D37" s="9">
        <f t="shared" si="9"/>
        <v>-1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-1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27">
        <f t="shared" si="10"/>
        <v>0</v>
      </c>
      <c r="T37" s="9">
        <f t="shared" si="9"/>
        <v>0</v>
      </c>
      <c r="W37" s="10" t="s">
        <v>47</v>
      </c>
      <c r="X37" s="3">
        <f>SUM($AC$34:$AG$34)</f>
        <v>75</v>
      </c>
      <c r="AJ37" s="29"/>
    </row>
    <row r="38" spans="1:36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27"/>
      <c r="T38" s="9"/>
      <c r="W38" s="10" t="s">
        <v>48</v>
      </c>
      <c r="X38" s="3">
        <f>SUM(D36:T36)</f>
        <v>67</v>
      </c>
      <c r="AJ38" s="29"/>
    </row>
    <row r="39" spans="1:36" x14ac:dyDescent="0.25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27">
        <f t="shared" si="11"/>
        <v>0</v>
      </c>
      <c r="T39" s="9">
        <f t="shared" ref="C39:T43" si="12">COUNTIF(T$2:T$32,$A39)</f>
        <v>0</v>
      </c>
      <c r="AJ39" s="29"/>
    </row>
    <row r="40" spans="1:36" x14ac:dyDescent="0.25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1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27">
        <f t="shared" si="12"/>
        <v>0</v>
      </c>
      <c r="T40" s="9">
        <f t="shared" si="12"/>
        <v>0</v>
      </c>
      <c r="AJ40" s="29"/>
    </row>
    <row r="41" spans="1:36" x14ac:dyDescent="0.25">
      <c r="A41" s="1" t="s">
        <v>21</v>
      </c>
      <c r="B41" s="9"/>
      <c r="C41" s="9">
        <f t="shared" si="12"/>
        <v>0</v>
      </c>
      <c r="D41" s="9">
        <f t="shared" si="12"/>
        <v>1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27">
        <f t="shared" si="12"/>
        <v>0</v>
      </c>
      <c r="T41" s="9">
        <f t="shared" si="12"/>
        <v>0</v>
      </c>
      <c r="AJ41" s="29"/>
    </row>
    <row r="42" spans="1:36" x14ac:dyDescent="0.25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27">
        <f t="shared" si="12"/>
        <v>0</v>
      </c>
      <c r="T42" s="9">
        <f t="shared" si="12"/>
        <v>0</v>
      </c>
      <c r="AJ42" s="29"/>
    </row>
    <row r="43" spans="1:36" x14ac:dyDescent="0.25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9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27">
        <f t="shared" si="12"/>
        <v>1</v>
      </c>
      <c r="T43" s="9">
        <f t="shared" si="12"/>
        <v>0</v>
      </c>
      <c r="AJ43" s="29"/>
    </row>
    <row r="44" spans="1:36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2</v>
      </c>
      <c r="K44" s="1">
        <f t="shared" si="13"/>
        <v>1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2"/>
      <c r="T44" s="1">
        <f t="shared" si="13"/>
        <v>0</v>
      </c>
      <c r="AJ44" s="29"/>
    </row>
    <row r="45" spans="1:36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2"/>
      <c r="T45" s="1">
        <f t="shared" si="15"/>
        <v>0</v>
      </c>
      <c r="AJ45" s="29"/>
    </row>
    <row r="46" spans="1:36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1</v>
      </c>
      <c r="R46" s="1">
        <f t="shared" si="18"/>
        <v>0</v>
      </c>
      <c r="S46" s="2"/>
      <c r="T46" s="1">
        <f t="shared" si="17"/>
        <v>0</v>
      </c>
      <c r="AJ46" s="29"/>
    </row>
    <row r="47" spans="1:36" x14ac:dyDescent="0.25">
      <c r="A47" s="1" t="s">
        <v>25</v>
      </c>
      <c r="C47" s="1">
        <f t="shared" ref="C47:T47" si="19">SUM(C44:C46)</f>
        <v>1</v>
      </c>
      <c r="D47" s="1">
        <f t="shared" si="19"/>
        <v>2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2</v>
      </c>
      <c r="K47" s="1">
        <f t="shared" si="19"/>
        <v>2</v>
      </c>
      <c r="L47" s="1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2</v>
      </c>
      <c r="R47" s="1">
        <f t="shared" si="20"/>
        <v>2</v>
      </c>
      <c r="S47" s="2"/>
      <c r="T47" s="1">
        <f t="shared" si="19"/>
        <v>0</v>
      </c>
      <c r="AJ47" s="29"/>
    </row>
    <row r="48" spans="1:36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34"/>
      <c r="T48" s="11">
        <f>SUMPRODUCT(COUNTIFS($A$2:$A$32,{"Fri";"Sat";"Sun"},T$2:T$32,"x"))/$B48</f>
        <v>1</v>
      </c>
      <c r="AJ48" s="30"/>
    </row>
    <row r="49" spans="1:36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0.5161290322580645</v>
      </c>
      <c r="L49" s="11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34"/>
      <c r="T49" s="11">
        <f t="shared" si="21"/>
        <v>1</v>
      </c>
      <c r="AJ49" s="29"/>
    </row>
    <row r="50" spans="1:36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35"/>
      <c r="T50" s="12"/>
      <c r="AJ50" s="29"/>
    </row>
    <row r="51" spans="1:36" x14ac:dyDescent="0.25">
      <c r="A51" s="12"/>
      <c r="B51" s="12"/>
      <c r="C51" s="3" t="s">
        <v>43</v>
      </c>
      <c r="D51" s="12" t="s">
        <v>60</v>
      </c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/>
      <c r="O51" s="12" t="s">
        <v>40</v>
      </c>
      <c r="P51" s="12"/>
      <c r="Q51" s="12"/>
      <c r="R51" s="12" t="s">
        <v>40</v>
      </c>
      <c r="S51" s="35"/>
      <c r="T51" s="12" t="s">
        <v>45</v>
      </c>
      <c r="AJ51" s="29"/>
    </row>
    <row r="52" spans="1:36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35"/>
      <c r="T52" s="12"/>
    </row>
    <row r="53" spans="1:36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35"/>
      <c r="T53" s="12"/>
    </row>
    <row r="54" spans="1:36" x14ac:dyDescent="0.25">
      <c r="C54" s="12"/>
      <c r="K54" s="3" t="s">
        <v>52</v>
      </c>
      <c r="O54" s="3" t="s">
        <v>52</v>
      </c>
      <c r="S54" s="5" t="s">
        <v>56</v>
      </c>
    </row>
    <row r="56" spans="1:36" x14ac:dyDescent="0.25">
      <c r="K56" s="3" t="s">
        <v>55</v>
      </c>
    </row>
    <row r="57" spans="1:36" x14ac:dyDescent="0.25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2017-08-11T16:12:06Z</dcterms:modified>
</cp:coreProperties>
</file>