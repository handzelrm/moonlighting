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IZAeIXKo22E4W26BZ5u1F+nK3w+kIrUnLWSygiXRucIgIYW9q1SA2XiSi1fI/Gd13ppF72TEeSb89sbgUCGosg==" workbookSaltValue="bu1Opoj2iCrcdqMiIaH3fA==" workbookSpinCount="100000" lockStructure="1"/>
  <bookViews>
    <workbookView xWindow="0" yWindow="0" windowWidth="15617" windowHeight="3634" xr2:uid="{00000000-000D-0000-FFFF-FFFF00000000}"/>
  </bookViews>
  <sheets>
    <sheet name="August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L47" i="3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C47" i="3"/>
  <c r="D45" i="3"/>
  <c r="E45" i="3"/>
  <c r="F45" i="3"/>
  <c r="G45" i="3"/>
  <c r="H45" i="3"/>
  <c r="I45" i="3"/>
  <c r="J45" i="3"/>
  <c r="K45" i="3"/>
  <c r="T45" i="3"/>
  <c r="C46" i="3"/>
  <c r="D46" i="3"/>
  <c r="D47" i="3"/>
  <c r="E46" i="3"/>
  <c r="F46" i="3"/>
  <c r="G46" i="3"/>
  <c r="H46" i="3"/>
  <c r="I46" i="3"/>
  <c r="J46" i="3"/>
  <c r="K46" i="3"/>
  <c r="T46" i="3"/>
  <c r="T47" i="3"/>
  <c r="C35" i="3"/>
  <c r="C37" i="3"/>
  <c r="C35" i="5"/>
  <c r="D35" i="3"/>
  <c r="D35" i="5"/>
  <c r="E35" i="3"/>
  <c r="E35" i="5"/>
  <c r="F35" i="3"/>
  <c r="F35" i="5"/>
  <c r="G35" i="3"/>
  <c r="G35" i="5"/>
  <c r="H35" i="3"/>
  <c r="H35" i="5"/>
  <c r="I35" i="3"/>
  <c r="I37" i="3"/>
  <c r="J35" i="3"/>
  <c r="J35" i="5"/>
  <c r="K35" i="3"/>
  <c r="K37" i="3"/>
  <c r="Y4" i="5"/>
  <c r="X6" i="5"/>
  <c r="X10" i="5"/>
  <c r="X14" i="5"/>
  <c r="Z15" i="5"/>
  <c r="Y18" i="5"/>
  <c r="Y20" i="5"/>
  <c r="Y30" i="5"/>
  <c r="X32" i="3"/>
  <c r="W32" i="5"/>
  <c r="Y32" i="3"/>
  <c r="X32" i="5"/>
  <c r="Z32" i="3"/>
  <c r="Y32" i="5"/>
  <c r="AA32" i="3"/>
  <c r="Z32" i="5"/>
  <c r="W32" i="3"/>
  <c r="V32" i="5"/>
  <c r="T37" i="3"/>
  <c r="S37" i="3"/>
  <c r="H47" i="3"/>
  <c r="N47" i="3"/>
  <c r="N37" i="3"/>
  <c r="H37" i="3"/>
  <c r="X38" i="3"/>
  <c r="M37" i="3"/>
  <c r="R47" i="3"/>
  <c r="R37" i="3"/>
  <c r="M47" i="3"/>
  <c r="F47" i="3"/>
  <c r="F37" i="3"/>
  <c r="I47" i="3"/>
  <c r="G47" i="3"/>
  <c r="G37" i="3"/>
  <c r="O37" i="3"/>
  <c r="O47" i="3"/>
  <c r="Q47" i="3"/>
  <c r="P37" i="3"/>
  <c r="P47" i="3"/>
  <c r="L37" i="3"/>
  <c r="E47" i="3"/>
  <c r="E37" i="3"/>
  <c r="D37" i="3"/>
  <c r="Q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<sst xmlns="http://schemas.openxmlformats.org/spreadsheetml/2006/main" count="496" uniqueCount="63">
  <si>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</si>
  <si>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</si>
  <si>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</si>
  <si>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</si>
  <si>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</si>
  <si>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</si>
  <si>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</si>
  <si>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</si>
  <si>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</si>
  <si>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</si>
  <si>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</si>
  <si>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</si>
  <si>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</si>
  <si>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</si>
  <si>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</si>
  <si>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</si>
  <si>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</si>
  <si>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</si>
  <si>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</si>
  <si>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</si>
  <si>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</si>
  <si>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</si>
  <si>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</si>
  <si>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</si>
  <si>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</si>
  <si>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</si>
  <si>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</si>
  <si>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</si>
  <si>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</si>
  <si>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</si>
  <si>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</si>
  <si>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</si>
  <si>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</si>
  <si>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</si>
  <si>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</si>
  <si>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</si>
  <si>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</si>
  <si>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</si>
  <si>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</si>
  <si>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</si>
  <si>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</si>
  <si>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</si>
  <si>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</si>
  <si>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</si>
  <si>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</si>
  <si>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</si>
  <si>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</si>
  <si>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</si>
  <si>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</si>
  <si>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</si>
  <si>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</si>
  <si>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</si>
  <si>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</si>
  <si>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</si>
  <si>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</si>
  <si>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</si>
  <si>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</si>
  <si>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</si>
  <si>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</si>
  <si>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</si>
  <si>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</si>
  <si>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</si>
  <si>
    <t>6FG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</si>
</sst>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8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12" fillId="2" borderId="0" xfId="0" applyFont="1" applyFill="1" applyBorder="1" applyAlignment="1">
      <alignment wrapText="1"/>
    </xf>
    <xf numFmtId="0" fontId="1" fillId="2" borderId="2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  <xf numFmtId="0" fontId="0" fillId="2" borderId="0" xfId="0" applyFont="1" applyFill="1" applyProtection="1"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38"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35"/>
  <sheetViews>
    <sheetView tabSelected="1" zoomScaleNormal="100" workbookViewId="0">
      <pane xSplit="2" ySplit="1" topLeftCell="M4" activePane="bottomRight" state="frozen"/>
      <selection pane="topRight" activeCell="C1" sqref="C1"/>
      <selection pane="bottomLeft" activeCell="A2" sqref="A2"/>
      <selection pane="bottomRight" activeCell="G28" sqref="G2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CHP Jr.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>Tam</v>
      </c>
      <c r="Z16" s="13" t="str">
        <f>IF(ISBLANK(Master!AA16),"",Master!AA16)</f>
        <v>Okolo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>CHP Jr.</v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>NEEDS COVERAGE</v>
      </c>
      <c r="Y19" s="13" t="str">
        <f>IF(ISBLANK(Master!Z19),"",Master!Z19)</f>
        <v>Okolo</v>
      </c>
      <c r="Z19" s="13" t="str">
        <f>IF(ISBLANK(Master!AA19),"",Master!AA19)</f>
        <v>Siow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CHP Jr.</v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>SHY</v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Myers</v>
      </c>
      <c r="X21" s="13" t="str">
        <f>IF(ISBLANK(Master!Y21),"",Master!Y21)</f>
        <v/>
      </c>
      <c r="Y21" s="13" t="str">
        <f>IF(ISBLANK(Master!Z21),"",Master!Z21)</f>
        <v>Van Der Windt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>SHY</v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Dyer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>SHY</v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Handzel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>Trauma</v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>SHY</v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Van Der Windt</v>
      </c>
      <c r="W25" s="13" t="str">
        <f>IF(ISBLANK(Master!X25),"",Master!X25)</f>
        <v>Cyr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CHP Sr.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>6FG</v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>CT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Tam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>CT</v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Cyr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6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6</v>
      </c>
      <c r="J35" s="13">
        <f>IF(ISBLANK(Master!J35),"",Master!J35)</f>
        <v>6</v>
      </c>
      <c r="K35" s="13">
        <f>IF(ISBLANK(Master!K35),"",Master!K35)</f>
        <v>6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7" priority="4">
      <formula>LEN(TRIM(V1))&gt;0</formula>
    </cfRule>
  </conditionalFormatting>
  <conditionalFormatting sqref="W1:W1048576">
    <cfRule type="notContainsBlanks" dxfId="36" priority="3">
      <formula>LEN(TRIM(W1))&gt;0</formula>
    </cfRule>
  </conditionalFormatting>
  <conditionalFormatting sqref="X1:Y1048576">
    <cfRule type="notContainsBlanks" dxfId="35" priority="2">
      <formula>LEN(TRIM(X1))&gt;0</formula>
    </cfRule>
  </conditionalFormatting>
  <conditionalFormatting sqref="Z1:Z1048576">
    <cfRule type="notContainsBlanks" dxfId="34" priority="1">
      <formula>LEN(TRIM(Z1))&gt;0</formula>
    </cfRule>
  </conditionalFormatting>
  <conditionalFormatting sqref="C2:U32">
    <cfRule type="cellIs" dxfId="33" priority="112" operator="equal">
      <formula>$W$1</formula>
    </cfRule>
    <cfRule type="cellIs" dxfId="32" priority="113" operator="equal">
      <formula>$Y$1</formula>
    </cfRule>
    <cfRule type="cellIs" dxfId="31" priority="114" operator="equal">
      <formula>$X$1</formula>
    </cfRule>
    <cfRule type="cellIs" dxfId="30" priority="115" operator="equal">
      <formula>$Z$1</formula>
    </cfRule>
    <cfRule type="cellIs" dxfId="29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K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X27" sqref="X27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3" width="16.84375" style="10" bestFit="1" customWidth="1"/>
    <col min="24" max="24" width="16.84375" style="37" bestFit="1" customWidth="1"/>
    <col min="25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33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 t="s">
        <v>39</v>
      </c>
      <c r="D2" s="1" t="s">
        <v>2</v>
      </c>
      <c r="E2" s="1" t="s">
        <v>39</v>
      </c>
      <c r="F2" s="1" t="s">
        <v>39</v>
      </c>
      <c r="G2" s="1" t="s">
        <v>39</v>
      </c>
      <c r="H2" s="1"/>
      <c r="I2" s="1" t="s">
        <v>23</v>
      </c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2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4</v>
      </c>
      <c r="B3" s="9">
        <v>2</v>
      </c>
      <c r="C3" s="1" t="s">
        <v>39</v>
      </c>
      <c r="D3" s="1"/>
      <c r="E3" s="1" t="s">
        <v>22</v>
      </c>
      <c r="F3" s="1"/>
      <c r="G3" s="1"/>
      <c r="H3" s="1" t="s">
        <v>2</v>
      </c>
      <c r="I3" s="1"/>
      <c r="J3" s="1">
        <v>1</v>
      </c>
      <c r="K3" s="1">
        <v>1</v>
      </c>
      <c r="L3" s="1"/>
      <c r="M3" s="1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W3" s="1" t="str">
        <f t="shared" si="0"/>
        <v>Hill (Kirk)</v>
      </c>
      <c r="X3" s="2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4">
      <c r="A4" s="1" t="s">
        <v>10</v>
      </c>
      <c r="B4" s="9">
        <v>3</v>
      </c>
      <c r="C4" s="1" t="s">
        <v>39</v>
      </c>
      <c r="D4" s="1"/>
      <c r="E4" s="1"/>
      <c r="F4" s="1"/>
      <c r="G4" s="1" t="s">
        <v>22</v>
      </c>
      <c r="H4" s="1"/>
      <c r="I4" s="1" t="s">
        <v>39</v>
      </c>
      <c r="J4" s="1" t="s">
        <v>23</v>
      </c>
      <c r="K4" s="1" t="s">
        <v>3</v>
      </c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W4" s="1" t="str">
        <f t="shared" si="0"/>
        <v/>
      </c>
      <c r="X4" s="2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4">
      <c r="A5" s="1" t="s">
        <v>5</v>
      </c>
      <c r="B5" s="9">
        <v>4</v>
      </c>
      <c r="C5" s="1"/>
      <c r="D5" s="1" t="s">
        <v>3</v>
      </c>
      <c r="E5" s="1" t="s">
        <v>39</v>
      </c>
      <c r="F5" s="1" t="s">
        <v>2</v>
      </c>
      <c r="G5" s="1" t="s">
        <v>39</v>
      </c>
      <c r="H5" s="1"/>
      <c r="I5" s="1"/>
      <c r="J5" s="1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W5" s="1" t="str">
        <f t="shared" si="0"/>
        <v>Griepentrog</v>
      </c>
      <c r="X5" s="2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1" t="s">
        <v>39</v>
      </c>
      <c r="M6" s="1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W6" s="1" t="str">
        <f t="shared" si="0"/>
        <v/>
      </c>
      <c r="X6" s="2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W7" s="1" t="str">
        <f t="shared" si="0"/>
        <v/>
      </c>
      <c r="X7" s="2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8</v>
      </c>
      <c r="B8" s="9">
        <v>7</v>
      </c>
      <c r="C8" s="1"/>
      <c r="D8" s="1"/>
      <c r="E8" s="1" t="s">
        <v>23</v>
      </c>
      <c r="F8" s="1" t="s">
        <v>39</v>
      </c>
      <c r="G8" s="1" t="s">
        <v>39</v>
      </c>
      <c r="H8" s="1" t="s">
        <v>39</v>
      </c>
      <c r="I8" s="1" t="s">
        <v>22</v>
      </c>
      <c r="J8" s="1" t="s">
        <v>3</v>
      </c>
      <c r="K8" s="1"/>
      <c r="L8" s="1" t="s">
        <v>39</v>
      </c>
      <c r="M8" s="1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W8" s="1" t="str">
        <f t="shared" si="0"/>
        <v>Kulkarni</v>
      </c>
      <c r="X8" s="2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4">
      <c r="A9" s="1" t="s">
        <v>9</v>
      </c>
      <c r="B9" s="9">
        <v>8</v>
      </c>
      <c r="C9" s="1" t="s">
        <v>39</v>
      </c>
      <c r="D9" s="1" t="s">
        <v>23</v>
      </c>
      <c r="E9" s="1"/>
      <c r="F9" s="1" t="s">
        <v>39</v>
      </c>
      <c r="G9" s="1" t="s">
        <v>39</v>
      </c>
      <c r="H9" s="1" t="s">
        <v>39</v>
      </c>
      <c r="I9" s="1"/>
      <c r="J9" s="1"/>
      <c r="K9" s="1" t="s">
        <v>39</v>
      </c>
      <c r="L9" s="1" t="s">
        <v>39</v>
      </c>
      <c r="M9" s="1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W9" s="1" t="str">
        <f t="shared" si="0"/>
        <v/>
      </c>
      <c r="X9" s="2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 t="s">
        <v>2</v>
      </c>
      <c r="H10" s="1" t="s">
        <v>39</v>
      </c>
      <c r="I10" s="1"/>
      <c r="J10" s="1"/>
      <c r="K10" s="1" t="s">
        <v>3</v>
      </c>
      <c r="L10" s="1" t="s">
        <v>39</v>
      </c>
      <c r="M10" s="1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W10" s="1" t="str">
        <f t="shared" si="0"/>
        <v>Handzel</v>
      </c>
      <c r="X10" s="2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 t="s">
        <v>23</v>
      </c>
      <c r="J11" s="1"/>
      <c r="K11" s="1"/>
      <c r="L11" s="1"/>
      <c r="M11" s="1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1"/>
      <c r="T11" s="1" t="s">
        <v>39</v>
      </c>
      <c r="W11" s="1" t="str">
        <f t="shared" si="0"/>
        <v/>
      </c>
      <c r="X11" s="2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4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 t="s">
        <v>22</v>
      </c>
      <c r="K12" s="1" t="s">
        <v>39</v>
      </c>
      <c r="L12" s="1"/>
      <c r="M12" s="1" t="s">
        <v>2</v>
      </c>
      <c r="N12" s="1" t="s">
        <v>39</v>
      </c>
      <c r="O12" s="1"/>
      <c r="P12" s="1" t="s">
        <v>39</v>
      </c>
      <c r="Q12" s="1" t="s">
        <v>39</v>
      </c>
      <c r="R12" s="1"/>
      <c r="S12" s="1" t="s">
        <v>3</v>
      </c>
      <c r="T12" s="1" t="s">
        <v>39</v>
      </c>
      <c r="W12" s="1" t="str">
        <f t="shared" si="0"/>
        <v>Dadashzadeh</v>
      </c>
      <c r="X12" s="2" t="str">
        <f t="shared" si="1"/>
        <v/>
      </c>
      <c r="Y12" s="1" t="str">
        <f t="shared" si="2"/>
        <v>Siow</v>
      </c>
      <c r="Z12" s="1" t="str">
        <f t="shared" si="3"/>
        <v/>
      </c>
      <c r="AA12" s="1" t="str">
        <f t="shared" si="4"/>
        <v>Yecies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4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 t="s">
        <v>2</v>
      </c>
      <c r="M13" s="1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W13" s="1" t="str">
        <f t="shared" si="0"/>
        <v>Cyr</v>
      </c>
      <c r="X13" s="2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/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1"/>
      <c r="N14" s="1" t="s">
        <v>39</v>
      </c>
      <c r="O14" s="1"/>
      <c r="P14" s="1" t="s">
        <v>39</v>
      </c>
      <c r="Q14" s="1" t="s">
        <v>23</v>
      </c>
      <c r="R14" s="1"/>
      <c r="S14" s="1" t="s">
        <v>39</v>
      </c>
      <c r="T14" s="1" t="s">
        <v>39</v>
      </c>
      <c r="W14" s="1" t="str">
        <f t="shared" si="0"/>
        <v/>
      </c>
      <c r="X14" s="2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8</v>
      </c>
      <c r="B15" s="9">
        <v>14</v>
      </c>
      <c r="C15" s="1" t="s">
        <v>22</v>
      </c>
      <c r="D15" s="1" t="s">
        <v>3</v>
      </c>
      <c r="E15" s="1" t="s">
        <v>39</v>
      </c>
      <c r="F15" s="1" t="s">
        <v>39</v>
      </c>
      <c r="G15" s="1" t="s">
        <v>39</v>
      </c>
      <c r="H15" s="1" t="s">
        <v>39</v>
      </c>
      <c r="I15" s="1"/>
      <c r="J15" s="1"/>
      <c r="K15" s="1"/>
      <c r="L15" s="1"/>
      <c r="M15" s="1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W15" s="1" t="str">
        <f t="shared" si="0"/>
        <v/>
      </c>
      <c r="X15" s="2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4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 t="s">
        <v>3</v>
      </c>
      <c r="J16" s="1"/>
      <c r="K16" s="1" t="s">
        <v>21</v>
      </c>
      <c r="L16" s="1"/>
      <c r="M16" s="1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/>
      <c r="W16" s="1" t="str">
        <f t="shared" si="0"/>
        <v/>
      </c>
      <c r="X16" s="2" t="str">
        <f t="shared" si="1"/>
        <v>Nicholson</v>
      </c>
      <c r="Y16" s="1" t="str">
        <f t="shared" si="2"/>
        <v/>
      </c>
      <c r="Z16" s="1" t="str">
        <f t="shared" si="3"/>
        <v>Tam</v>
      </c>
      <c r="AA16" s="1" t="str">
        <f t="shared" si="4"/>
        <v>Okolo</v>
      </c>
      <c r="AB16" s="1"/>
      <c r="AC16" s="1"/>
      <c r="AD16" s="1" t="s">
        <v>39</v>
      </c>
      <c r="AE16" s="1"/>
      <c r="AF16" s="1" t="s">
        <v>39</v>
      </c>
      <c r="AG16" s="1" t="s">
        <v>39</v>
      </c>
      <c r="AI16" s="18"/>
      <c r="AJ16" s="21"/>
      <c r="AK16" s="20"/>
    </row>
    <row r="17" spans="1:37" x14ac:dyDescent="0.4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 t="s">
        <v>3</v>
      </c>
      <c r="H17" s="1" t="s">
        <v>39</v>
      </c>
      <c r="I17" s="1"/>
      <c r="J17" s="1" t="s">
        <v>2</v>
      </c>
      <c r="K17" s="1"/>
      <c r="L17" s="1" t="s">
        <v>23</v>
      </c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W17" s="1" t="str">
        <f t="shared" si="0"/>
        <v>Siow</v>
      </c>
      <c r="X17" s="2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10</v>
      </c>
      <c r="B18" s="9">
        <v>17</v>
      </c>
      <c r="C18" s="1"/>
      <c r="D18" s="1"/>
      <c r="E18" s="1" t="s">
        <v>39</v>
      </c>
      <c r="F18" s="1" t="s">
        <v>23</v>
      </c>
      <c r="G18" s="1" t="s">
        <v>39</v>
      </c>
      <c r="H18" s="1" t="s">
        <v>39</v>
      </c>
      <c r="I18" s="1"/>
      <c r="J18" s="1"/>
      <c r="K18" s="1" t="s">
        <v>39</v>
      </c>
      <c r="L18" s="1"/>
      <c r="M18" s="1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W18" s="1" t="str">
        <f t="shared" si="0"/>
        <v>Dadashzadeh</v>
      </c>
      <c r="X18" s="2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 t="s">
        <v>21</v>
      </c>
      <c r="J19" s="1" t="s">
        <v>3</v>
      </c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W19" s="1" t="str">
        <f t="shared" si="0"/>
        <v>Myers</v>
      </c>
      <c r="X19" s="2" t="str">
        <f t="shared" si="1"/>
        <v/>
      </c>
      <c r="Y19" s="1" t="str">
        <f t="shared" si="2"/>
        <v>NEEDS COVERAGE</v>
      </c>
      <c r="Z19" s="1" t="str">
        <f t="shared" si="3"/>
        <v>Okolo</v>
      </c>
      <c r="AA19" s="1" t="str">
        <f t="shared" si="4"/>
        <v>Siow</v>
      </c>
      <c r="AB19" s="1"/>
      <c r="AC19" s="1" t="s">
        <v>39</v>
      </c>
      <c r="AD19" s="1"/>
      <c r="AE19" s="1" t="s">
        <v>39</v>
      </c>
      <c r="AF19" s="1" t="s">
        <v>39</v>
      </c>
      <c r="AG19" s="1" t="s">
        <v>39</v>
      </c>
      <c r="AI19" s="18"/>
      <c r="AJ19" s="19"/>
      <c r="AK19" s="20"/>
    </row>
    <row r="20" spans="1:37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W20" s="1" t="str">
        <f t="shared" si="0"/>
        <v/>
      </c>
      <c r="X20" s="2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7</v>
      </c>
      <c r="B21" s="9">
        <v>20</v>
      </c>
      <c r="C21" s="1"/>
      <c r="D21" s="1" t="s">
        <v>21</v>
      </c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 t="s">
        <v>23</v>
      </c>
      <c r="R21" s="1"/>
      <c r="S21" s="1"/>
      <c r="T21" s="1" t="s">
        <v>39</v>
      </c>
      <c r="W21" s="1" t="str">
        <f t="shared" si="0"/>
        <v/>
      </c>
      <c r="X21" s="2" t="str">
        <f t="shared" si="1"/>
        <v>Myers</v>
      </c>
      <c r="Y21" s="1" t="str">
        <f t="shared" si="2"/>
        <v/>
      </c>
      <c r="Z21" s="1" t="str">
        <f t="shared" si="3"/>
        <v>Van Der Windt</v>
      </c>
      <c r="AA21" s="1" t="str">
        <f t="shared" si="4"/>
        <v>NEEDS COVERAGE</v>
      </c>
      <c r="AB21" s="1"/>
      <c r="AC21" s="1"/>
      <c r="AD21" s="1" t="s">
        <v>39</v>
      </c>
      <c r="AE21" s="1"/>
      <c r="AF21" s="1" t="s">
        <v>39</v>
      </c>
      <c r="AG21" s="1" t="s">
        <v>39</v>
      </c>
      <c r="AI21" s="22"/>
      <c r="AJ21" s="28"/>
      <c r="AK21" s="20"/>
    </row>
    <row r="22" spans="1:37" x14ac:dyDescent="0.4">
      <c r="A22" s="1" t="s">
        <v>8</v>
      </c>
      <c r="B22" s="9">
        <v>21</v>
      </c>
      <c r="C22" s="1" t="s">
        <v>23</v>
      </c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1"/>
      <c r="N22" s="1" t="s">
        <v>3</v>
      </c>
      <c r="O22" s="1" t="s">
        <v>39</v>
      </c>
      <c r="P22" s="1"/>
      <c r="Q22" s="1"/>
      <c r="R22" s="1" t="s">
        <v>2</v>
      </c>
      <c r="S22" s="1"/>
      <c r="T22" s="1" t="s">
        <v>39</v>
      </c>
      <c r="W22" s="1" t="str">
        <f t="shared" si="0"/>
        <v>Nicholson</v>
      </c>
      <c r="X22" s="2" t="str">
        <f t="shared" si="1"/>
        <v>Dyer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8"/>
      <c r="AK22" s="20"/>
    </row>
    <row r="23" spans="1:37" x14ac:dyDescent="0.4">
      <c r="A23" s="1" t="s">
        <v>9</v>
      </c>
      <c r="B23" s="9">
        <v>22</v>
      </c>
      <c r="C23" s="1"/>
      <c r="D23" s="1"/>
      <c r="E23" s="1" t="s">
        <v>2</v>
      </c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1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W23" s="1" t="str">
        <f t="shared" si="0"/>
        <v>Yeh</v>
      </c>
      <c r="X23" s="2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28"/>
      <c r="AK23" s="20"/>
    </row>
    <row r="24" spans="1:37" x14ac:dyDescent="0.4">
      <c r="A24" s="1" t="s">
        <v>4</v>
      </c>
      <c r="B24" s="9">
        <v>23</v>
      </c>
      <c r="C24" s="1"/>
      <c r="D24" s="1"/>
      <c r="E24" s="1"/>
      <c r="F24" s="1"/>
      <c r="G24" s="1" t="s">
        <v>23</v>
      </c>
      <c r="H24" s="1" t="s">
        <v>39</v>
      </c>
      <c r="I24" s="1"/>
      <c r="J24" s="1"/>
      <c r="K24" s="1"/>
      <c r="L24" s="1"/>
      <c r="M24" s="1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W24" s="1" t="str">
        <f t="shared" si="0"/>
        <v>Gallagher</v>
      </c>
      <c r="X24" s="2" t="str">
        <f t="shared" si="1"/>
        <v>Handzel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8"/>
      <c r="AK24" s="20"/>
    </row>
    <row r="25" spans="1:37" x14ac:dyDescent="0.4">
      <c r="A25" s="1" t="s">
        <v>10</v>
      </c>
      <c r="B25" s="9">
        <v>24</v>
      </c>
      <c r="C25" s="1" t="s">
        <v>39</v>
      </c>
      <c r="D25" s="1" t="s">
        <v>2</v>
      </c>
      <c r="E25" s="1"/>
      <c r="F25" s="1"/>
      <c r="G25" s="1"/>
      <c r="H25" s="1" t="s">
        <v>39</v>
      </c>
      <c r="I25" s="1" t="s">
        <v>3</v>
      </c>
      <c r="J25" s="1"/>
      <c r="K25" s="1" t="s">
        <v>39</v>
      </c>
      <c r="L25" s="1" t="s">
        <v>23</v>
      </c>
      <c r="M25" s="1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W25" s="1" t="str">
        <f t="shared" si="0"/>
        <v>Van Der Windt</v>
      </c>
      <c r="X25" s="2" t="str">
        <f t="shared" si="1"/>
        <v>Cyr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 t="s">
        <v>39</v>
      </c>
      <c r="AD25" s="1" t="s">
        <v>39</v>
      </c>
      <c r="AE25" s="1"/>
      <c r="AF25" s="1"/>
      <c r="AG25" s="1" t="s">
        <v>39</v>
      </c>
      <c r="AI25" s="18"/>
      <c r="AJ25" s="28"/>
      <c r="AK25" s="20"/>
    </row>
    <row r="26" spans="1:37" x14ac:dyDescent="0.4">
      <c r="A26" s="1" t="s">
        <v>5</v>
      </c>
      <c r="B26" s="9">
        <v>25</v>
      </c>
      <c r="C26" s="1" t="s">
        <v>39</v>
      </c>
      <c r="D26" s="1"/>
      <c r="E26" s="1" t="s">
        <v>39</v>
      </c>
      <c r="F26" s="1" t="s">
        <v>3</v>
      </c>
      <c r="G26" s="1"/>
      <c r="H26" s="1" t="s">
        <v>39</v>
      </c>
      <c r="I26" s="1" t="s">
        <v>39</v>
      </c>
      <c r="J26" s="1" t="s">
        <v>22</v>
      </c>
      <c r="K26" s="1" t="s">
        <v>2</v>
      </c>
      <c r="L26" s="1" t="s">
        <v>39</v>
      </c>
      <c r="M26" s="1" t="s">
        <v>39</v>
      </c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W26" s="1" t="str">
        <f t="shared" si="0"/>
        <v>Tam</v>
      </c>
      <c r="X26" s="2" t="str">
        <f t="shared" si="1"/>
        <v/>
      </c>
      <c r="Y26" s="1" t="str">
        <f t="shared" si="2"/>
        <v>Siow</v>
      </c>
      <c r="Z26" s="1" t="str">
        <f t="shared" si="3"/>
        <v/>
      </c>
      <c r="AA26" s="1" t="str">
        <f t="shared" si="4"/>
        <v>Griepentrog</v>
      </c>
      <c r="AB26" s="1"/>
      <c r="AC26" s="1" t="s">
        <v>39</v>
      </c>
      <c r="AD26" s="1"/>
      <c r="AE26" s="1" t="s">
        <v>39</v>
      </c>
      <c r="AF26" s="1"/>
      <c r="AG26" s="1" t="s">
        <v>39</v>
      </c>
      <c r="AI26" s="18"/>
      <c r="AJ26" s="28"/>
      <c r="AK26" s="20"/>
    </row>
    <row r="27" spans="1:37" s="5" customFormat="1" x14ac:dyDescent="0.4">
      <c r="A27" s="2" t="s">
        <v>6</v>
      </c>
      <c r="B27" s="27">
        <v>26</v>
      </c>
      <c r="C27" s="2" t="s">
        <v>39</v>
      </c>
      <c r="D27" s="2"/>
      <c r="E27" s="2" t="s">
        <v>39</v>
      </c>
      <c r="F27" s="2"/>
      <c r="G27" s="2" t="s">
        <v>62</v>
      </c>
      <c r="H27" s="2" t="s">
        <v>39</v>
      </c>
      <c r="I27" s="2" t="s">
        <v>39</v>
      </c>
      <c r="J27" s="2" t="s">
        <v>39</v>
      </c>
      <c r="K27" s="2"/>
      <c r="L27" s="2" t="s">
        <v>39</v>
      </c>
      <c r="M27" s="2" t="s">
        <v>39</v>
      </c>
      <c r="N27" s="2" t="s">
        <v>3</v>
      </c>
      <c r="O27" s="2" t="s">
        <v>39</v>
      </c>
      <c r="P27" s="2" t="s">
        <v>39</v>
      </c>
      <c r="Q27" s="2" t="s">
        <v>39</v>
      </c>
      <c r="R27" s="2" t="s">
        <v>39</v>
      </c>
      <c r="S27" s="2"/>
      <c r="T27" s="2" t="s">
        <v>39</v>
      </c>
      <c r="W27" s="2" t="str">
        <f t="shared" si="0"/>
        <v/>
      </c>
      <c r="X27" s="2" t="str">
        <f t="shared" si="1"/>
        <v/>
      </c>
      <c r="Y27" s="2" t="str">
        <f t="shared" si="2"/>
        <v/>
      </c>
      <c r="Z27" s="2" t="str">
        <f t="shared" si="3"/>
        <v/>
      </c>
      <c r="AA27" s="2" t="str">
        <f t="shared" si="4"/>
        <v>Gallagher</v>
      </c>
      <c r="AB27" s="2"/>
      <c r="AC27" s="2"/>
      <c r="AD27" s="2"/>
      <c r="AE27" s="2"/>
      <c r="AF27" s="2"/>
      <c r="AG27" s="2" t="s">
        <v>39</v>
      </c>
      <c r="AI27" s="31"/>
      <c r="AJ27" s="32"/>
      <c r="AK27" s="30"/>
    </row>
    <row r="28" spans="1:37" x14ac:dyDescent="0.4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 t="s">
        <v>23</v>
      </c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W28" s="1" t="str">
        <f t="shared" si="0"/>
        <v/>
      </c>
      <c r="X28" s="2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8"/>
      <c r="AJ28" s="28"/>
      <c r="AK28" s="20"/>
    </row>
    <row r="29" spans="1:37" x14ac:dyDescent="0.4">
      <c r="A29" s="1" t="s">
        <v>8</v>
      </c>
      <c r="B29" s="9">
        <v>28</v>
      </c>
      <c r="C29" s="1" t="s">
        <v>2</v>
      </c>
      <c r="D29" s="1"/>
      <c r="E29" s="1" t="s">
        <v>39</v>
      </c>
      <c r="F29" s="1"/>
      <c r="G29" s="1"/>
      <c r="H29" s="1" t="s">
        <v>3</v>
      </c>
      <c r="I29" s="1"/>
      <c r="J29" s="1"/>
      <c r="K29" s="1"/>
      <c r="L29" s="1"/>
      <c r="M29" s="1" t="s">
        <v>23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W29" s="1" t="str">
        <f t="shared" si="0"/>
        <v>Dyer</v>
      </c>
      <c r="X29" s="2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8"/>
      <c r="AK29" s="20"/>
    </row>
    <row r="30" spans="1:37" x14ac:dyDescent="0.4">
      <c r="A30" s="1" t="s">
        <v>9</v>
      </c>
      <c r="B30" s="9">
        <v>29</v>
      </c>
      <c r="C30" s="1"/>
      <c r="D30" s="1"/>
      <c r="E30" s="1"/>
      <c r="F30" s="1"/>
      <c r="G30" s="1" t="s">
        <v>3</v>
      </c>
      <c r="H30" s="1"/>
      <c r="I30" s="1"/>
      <c r="J30" s="1"/>
      <c r="K30" s="1" t="s">
        <v>39</v>
      </c>
      <c r="L30" s="1"/>
      <c r="M30" s="1"/>
      <c r="N30" s="1"/>
      <c r="O30" s="1" t="s">
        <v>23</v>
      </c>
      <c r="P30" s="1"/>
      <c r="Q30" s="1"/>
      <c r="R30" s="1"/>
      <c r="S30" s="1"/>
      <c r="T30" s="1" t="s">
        <v>39</v>
      </c>
      <c r="W30" s="1" t="str">
        <f t="shared" si="0"/>
        <v/>
      </c>
      <c r="X30" s="2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8"/>
      <c r="AK30" s="20"/>
    </row>
    <row r="31" spans="1:37" x14ac:dyDescent="0.4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 t="s">
        <v>3</v>
      </c>
      <c r="L31" s="1"/>
      <c r="M31" s="1" t="s">
        <v>39</v>
      </c>
      <c r="N31" s="1"/>
      <c r="O31" s="1"/>
      <c r="P31" s="1" t="s">
        <v>23</v>
      </c>
      <c r="Q31" s="1"/>
      <c r="R31" s="1"/>
      <c r="S31" s="1"/>
      <c r="T31" s="1" t="s">
        <v>39</v>
      </c>
      <c r="W31" s="1" t="str">
        <f t="shared" si="0"/>
        <v/>
      </c>
      <c r="X31" s="2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Tam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28"/>
      <c r="AK31" s="20"/>
    </row>
    <row r="32" spans="1:37" x14ac:dyDescent="0.4">
      <c r="A32" s="1" t="s">
        <v>10</v>
      </c>
      <c r="B32" s="9">
        <v>31</v>
      </c>
      <c r="C32" s="1"/>
      <c r="D32" s="1"/>
      <c r="E32" s="1"/>
      <c r="F32" s="1"/>
      <c r="G32" s="1"/>
      <c r="H32" s="1" t="s">
        <v>23</v>
      </c>
      <c r="I32" s="1"/>
      <c r="J32" s="1"/>
      <c r="K32" s="1"/>
      <c r="L32" s="1" t="s">
        <v>3</v>
      </c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2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Cyr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8"/>
      <c r="AK32" s="20"/>
    </row>
    <row r="33" spans="1:36" x14ac:dyDescent="0.4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34"/>
      <c r="Y33" s="6"/>
      <c r="Z33" s="6"/>
      <c r="AA33" s="6"/>
      <c r="AB33" s="6"/>
      <c r="AC33" s="1"/>
      <c r="AD33" s="1"/>
      <c r="AE33" s="1"/>
      <c r="AF33" s="1"/>
      <c r="AG33" s="1"/>
      <c r="AJ33" s="28"/>
    </row>
    <row r="34" spans="1:36" x14ac:dyDescent="0.4">
      <c r="A34" s="7" t="s">
        <v>11</v>
      </c>
      <c r="B34" s="24"/>
      <c r="C34" s="7" t="s">
        <v>41</v>
      </c>
      <c r="D34" s="7" t="s">
        <v>59</v>
      </c>
      <c r="E34" s="7" t="s">
        <v>41</v>
      </c>
      <c r="F34" s="7" t="s">
        <v>41</v>
      </c>
      <c r="G34" s="7" t="s">
        <v>54</v>
      </c>
      <c r="H34" s="7" t="s">
        <v>41</v>
      </c>
      <c r="I34" s="7" t="s">
        <v>54</v>
      </c>
      <c r="J34" s="7" t="s">
        <v>54</v>
      </c>
      <c r="K34" s="7" t="s">
        <v>54</v>
      </c>
      <c r="L34" s="7" t="s">
        <v>58</v>
      </c>
      <c r="M34" s="7" t="s">
        <v>54</v>
      </c>
      <c r="N34" s="7" t="s">
        <v>58</v>
      </c>
      <c r="O34" s="7" t="s">
        <v>54</v>
      </c>
      <c r="P34" s="7" t="s">
        <v>59</v>
      </c>
      <c r="Q34" s="7" t="s">
        <v>54</v>
      </c>
      <c r="R34" s="7" t="s">
        <v>61</v>
      </c>
      <c r="S34" s="7" t="s">
        <v>57</v>
      </c>
      <c r="T34" s="7" t="s">
        <v>44</v>
      </c>
      <c r="W34" s="6"/>
      <c r="X34" s="35"/>
      <c r="Y34" s="6"/>
      <c r="Z34" s="6"/>
      <c r="AA34" s="6"/>
      <c r="AB34" s="6"/>
      <c r="AC34" s="1">
        <f>COUNTIF(AC2:AC32,"x")</f>
        <v>16</v>
      </c>
      <c r="AD34" s="1">
        <f>COUNTIF(AD2:AD31,"x")</f>
        <v>22</v>
      </c>
      <c r="AE34" s="1">
        <f>COUNTIF(AE2:AE31,"x")</f>
        <v>7</v>
      </c>
      <c r="AF34" s="1">
        <f>COUNTIF(AF2:AF31,"x")</f>
        <v>3</v>
      </c>
      <c r="AG34" s="1">
        <f>COUNTIF(AG2:AG31,"x")</f>
        <v>30</v>
      </c>
      <c r="AJ34" s="28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6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3</v>
      </c>
      <c r="I35" s="1">
        <f t="shared" si="5"/>
        <v>6</v>
      </c>
      <c r="J35" s="1">
        <f t="shared" si="5"/>
        <v>6</v>
      </c>
      <c r="K35" s="1">
        <f t="shared" si="5"/>
        <v>6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X35" s="36"/>
      <c r="Y35" s="26"/>
      <c r="Z35" s="26"/>
      <c r="AA35" s="26"/>
      <c r="AB35" s="26"/>
      <c r="AJ35" s="28"/>
    </row>
    <row r="36" spans="1:36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5">
        <f>SUM(AC34:AF34)</f>
        <v>48</v>
      </c>
      <c r="AJ36" s="28"/>
    </row>
    <row r="37" spans="1:36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-2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-1</v>
      </c>
      <c r="J37" s="9">
        <f t="shared" si="9"/>
        <v>-1</v>
      </c>
      <c r="K37" s="9">
        <f t="shared" si="9"/>
        <v>-1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5">
        <f>SUM($AC$34:$AG$34)</f>
        <v>78</v>
      </c>
      <c r="AJ37" s="28"/>
    </row>
    <row r="38" spans="1:36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5">
        <f>SUM(D36:T36)</f>
        <v>67</v>
      </c>
      <c r="AJ38" s="28"/>
    </row>
    <row r="39" spans="1:36" x14ac:dyDescent="0.4">
      <c r="A39" s="1" t="s">
        <v>2</v>
      </c>
      <c r="B39" s="9"/>
      <c r="C39" s="9">
        <f t="shared" ref="C39:S39" si="11">COUNTIF(C$2:C$32,$A39)</f>
        <v>1</v>
      </c>
      <c r="D39" s="9">
        <f t="shared" si="11"/>
        <v>2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  <c r="AJ39" s="28"/>
    </row>
    <row r="40" spans="1:36" x14ac:dyDescent="0.4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9">
        <f t="shared" si="12"/>
        <v>0</v>
      </c>
      <c r="I40" s="9">
        <f t="shared" si="12"/>
        <v>1</v>
      </c>
      <c r="J40" s="9">
        <f t="shared" si="12"/>
        <v>2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8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1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1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8"/>
    </row>
    <row r="42" spans="1:36" x14ac:dyDescent="0.4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9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  <c r="AJ42" s="28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9">
        <f t="shared" si="12"/>
        <v>1</v>
      </c>
      <c r="M43" s="9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  <c r="AJ43" s="28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1">
        <f t="shared" si="13"/>
        <v>0</v>
      </c>
      <c r="I44" s="1">
        <f t="shared" si="13"/>
        <v>1</v>
      </c>
      <c r="J44" s="1">
        <f t="shared" si="13"/>
        <v>3</v>
      </c>
      <c r="K44" s="1">
        <f t="shared" si="13"/>
        <v>1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  <c r="AJ44" s="28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1</v>
      </c>
      <c r="M45" s="1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  <c r="AJ45" s="28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2</v>
      </c>
      <c r="R46" s="1">
        <f t="shared" si="18"/>
        <v>0</v>
      </c>
      <c r="S46" s="1"/>
      <c r="T46" s="1">
        <f t="shared" si="17"/>
        <v>0</v>
      </c>
      <c r="AJ46" s="28"/>
    </row>
    <row r="47" spans="1:36" x14ac:dyDescent="0.4">
      <c r="A47" s="1" t="s">
        <v>25</v>
      </c>
      <c r="C47" s="1">
        <f t="shared" ref="C47:T47" si="19">SUM(C44:C46)</f>
        <v>0</v>
      </c>
      <c r="D47" s="1">
        <f t="shared" si="19"/>
        <v>2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1">
        <f t="shared" si="19"/>
        <v>0</v>
      </c>
      <c r="I47" s="1">
        <f t="shared" si="19"/>
        <v>1</v>
      </c>
      <c r="J47" s="1">
        <f t="shared" si="19"/>
        <v>3</v>
      </c>
      <c r="K47" s="1">
        <f t="shared" si="19"/>
        <v>2</v>
      </c>
      <c r="L47" s="1">
        <f t="shared" ref="L47:R47" si="20">SUM(L44:L46)</f>
        <v>1</v>
      </c>
      <c r="M47" s="1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3</v>
      </c>
      <c r="R47" s="1">
        <f t="shared" si="20"/>
        <v>2</v>
      </c>
      <c r="S47" s="1"/>
      <c r="T47" s="1">
        <f t="shared" si="19"/>
        <v>0</v>
      </c>
      <c r="AJ47" s="28"/>
    </row>
    <row r="48" spans="1:36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0.16666666666666666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  <c r="AJ48" s="29"/>
    </row>
    <row r="49" spans="1:36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6.4516129032258063E-2</v>
      </c>
      <c r="K49" s="11">
        <f t="shared" si="21"/>
        <v>0.5161290322580645</v>
      </c>
      <c r="L49" s="11">
        <f t="shared" si="21"/>
        <v>0.45161290322580644</v>
      </c>
      <c r="M49" s="11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  <c r="AJ49" s="28"/>
    </row>
    <row r="50" spans="1:36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AJ50" s="28"/>
    </row>
    <row r="51" spans="1:36" x14ac:dyDescent="0.4">
      <c r="A51" s="12"/>
      <c r="B51" s="12"/>
      <c r="C51" s="3" t="s">
        <v>43</v>
      </c>
      <c r="D51" s="12" t="s">
        <v>60</v>
      </c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/>
      <c r="O51" s="12" t="s">
        <v>40</v>
      </c>
      <c r="P51" s="12"/>
      <c r="Q51" s="12"/>
      <c r="R51" s="12" t="s">
        <v>40</v>
      </c>
      <c r="S51" s="12"/>
      <c r="T51" s="12" t="s">
        <v>45</v>
      </c>
      <c r="AJ51" s="28"/>
    </row>
    <row r="52" spans="1:36" x14ac:dyDescent="0.4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6" x14ac:dyDescent="0.4">
      <c r="C54" s="12"/>
      <c r="K54" s="3" t="s">
        <v>52</v>
      </c>
      <c r="O54" s="3" t="s">
        <v>52</v>
      </c>
      <c r="S54" s="3" t="s">
        <v>56</v>
      </c>
    </row>
    <row r="56" spans="1:36" x14ac:dyDescent="0.4">
      <c r="K56" s="3" t="s">
        <v>55</v>
      </c>
    </row>
    <row r="57" spans="1:36" x14ac:dyDescent="0.4">
      <c r="C57" s="8"/>
    </row>
  </sheetData>
  <conditionalFormatting sqref="I8:S8 C4:C30 D4:S7 D8:G8 D9:S30 C31:S32 T2:T33 H8:H28 N5:N22">
    <cfRule type="containsText" dxfId="28" priority="75" stopIfTrue="1" operator="containsText" text="CHP Jr.">
      <formula>NOT(ISERROR(SEARCH("CHP Jr.",C2)))</formula>
    </cfRule>
    <cfRule type="containsText" dxfId="27" priority="93" stopIfTrue="1" operator="containsText" text="SHY">
      <formula>NOT(ISERROR(SEARCH("SHY",C2)))</formula>
    </cfRule>
    <cfRule type="containsText" dxfId="26" priority="94" stopIfTrue="1" operator="containsText" text="CT">
      <formula>NOT(ISERROR(SEARCH("CT",C2)))</formula>
    </cfRule>
  </conditionalFormatting>
  <conditionalFormatting sqref="AE1:AF1048576 Y1:Z1048576">
    <cfRule type="notContainsBlanks" dxfId="25" priority="96">
      <formula>LEN(TRIM(Y1))&gt;0</formula>
    </cfRule>
  </conditionalFormatting>
  <conditionalFormatting sqref="C2:T3 T4:T33 C4:S32">
    <cfRule type="containsText" dxfId="24" priority="49" operator="containsText" text="Transplant">
      <formula>NOT(ISERROR(SEARCH("Transplant",C2)))</formula>
    </cfRule>
    <cfRule type="containsText" dxfId="23" priority="95" stopIfTrue="1" operator="containsText" text="CHP Sr.">
      <formula>NOT(ISERROR(SEARCH("CHP Sr.",C2)))</formula>
    </cfRule>
  </conditionalFormatting>
  <conditionalFormatting sqref="H8 C2:S3">
    <cfRule type="containsText" dxfId="22" priority="40" stopIfTrue="1" operator="containsText" text="CHP Jr.">
      <formula>NOT(ISERROR(SEARCH("CHP Jr.",C2)))</formula>
    </cfRule>
    <cfRule type="containsText" dxfId="21" priority="41" stopIfTrue="1" operator="containsText" text="Trauma">
      <formula>NOT(ISERROR(SEARCH("Trauma",C2)))</formula>
    </cfRule>
    <cfRule type="containsText" dxfId="20" priority="42" stopIfTrue="1" operator="containsText" text="SHY">
      <formula>NOT(ISERROR(SEARCH("SHY",C2)))</formula>
    </cfRule>
    <cfRule type="containsText" dxfId="19" priority="43" stopIfTrue="1" operator="containsText" text="CT">
      <formula>NOT(ISERROR(SEARCH("CT",C2)))</formula>
    </cfRule>
  </conditionalFormatting>
  <conditionalFormatting sqref="X1:X34 X39:X1048576 AD1:AD1048576">
    <cfRule type="notContainsBlanks" dxfId="18" priority="31">
      <formula>LEN(TRIM(X1))&gt;0</formula>
    </cfRule>
  </conditionalFormatting>
  <conditionalFormatting sqref="AA1:AB1048576 AG1:AG1048576">
    <cfRule type="notContainsBlanks" dxfId="17" priority="30">
      <formula>LEN(TRIM(AA1))&gt;0</formula>
    </cfRule>
  </conditionalFormatting>
  <conditionalFormatting sqref="AC1:AC1048576 W1:W34 W36:W1048576">
    <cfRule type="notContainsBlanks" dxfId="16" priority="27">
      <formula>LEN(TRIM(W1))&gt;0</formula>
    </cfRule>
  </conditionalFormatting>
  <conditionalFormatting sqref="X2:AB32">
    <cfRule type="notContainsBlanks" dxfId="15" priority="97">
      <formula>LEN(TRIM(X2))&gt;0</formula>
    </cfRule>
  </conditionalFormatting>
  <conditionalFormatting sqref="C47:T47">
    <cfRule type="cellIs" dxfId="14" priority="20" operator="greaterThanOrEqual">
      <formula>3</formula>
    </cfRule>
    <cfRule type="cellIs" dxfId="13" priority="21" operator="equal">
      <formula>2</formula>
    </cfRule>
  </conditionalFormatting>
  <conditionalFormatting sqref="I8:S8 C4:C30 D4:S7 D8:G8 D9:S30 C31:S32 T2:T33 H8:H28 N5:N22">
    <cfRule type="containsText" dxfId="12" priority="92" stopIfTrue="1" operator="containsText" text="Trauma">
      <formula>NOT(ISERROR(SEARCH("Trauma",C2)))</formula>
    </cfRule>
  </conditionalFormatting>
  <conditionalFormatting sqref="A39:T39">
    <cfRule type="expression" dxfId="11" priority="17">
      <formula>$A39="Trauma"</formula>
    </cfRule>
  </conditionalFormatting>
  <conditionalFormatting sqref="A40:T40">
    <cfRule type="expression" dxfId="10" priority="15">
      <formula>$A$40="CHP Sr."</formula>
    </cfRule>
  </conditionalFormatting>
  <conditionalFormatting sqref="A41:T41">
    <cfRule type="expression" dxfId="9" priority="13">
      <formula>$A$41="CHP Jr."</formula>
    </cfRule>
  </conditionalFormatting>
  <conditionalFormatting sqref="A46:T46">
    <cfRule type="expression" dxfId="8" priority="9">
      <formula>$A$46="Sun"</formula>
    </cfRule>
  </conditionalFormatting>
  <conditionalFormatting sqref="A42:T42">
    <cfRule type="expression" dxfId="7" priority="8">
      <formula>$A$42="SHY"</formula>
    </cfRule>
  </conditionalFormatting>
  <conditionalFormatting sqref="A43:T43">
    <cfRule type="expression" dxfId="6" priority="7">
      <formula>$A$43="CT"</formula>
    </cfRule>
  </conditionalFormatting>
  <conditionalFormatting sqref="A44:T44">
    <cfRule type="expression" dxfId="5" priority="6">
      <formula>$A$44="Fri"</formula>
    </cfRule>
  </conditionalFormatting>
  <conditionalFormatting sqref="A45:T45">
    <cfRule type="expression" dxfId="4" priority="5">
      <formula>$A$45="Sat"</formula>
    </cfRule>
  </conditionalFormatting>
  <conditionalFormatting sqref="W2:AA31">
    <cfRule type="cellIs" dxfId="3" priority="4" operator="equal">
      <formula>"ERROR"</formula>
    </cfRule>
  </conditionalFormatting>
  <conditionalFormatting sqref="Y37:AI37 A37:V37 W38 AK37:XFD37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C2:T32">
    <cfRule type="cellIs" dxfId="0" priority="1" operator="equal">
      <formula>"6FG"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2017-09-05T14:41:31Z</dcterms:modified>
</cp:coreProperties>
</file>