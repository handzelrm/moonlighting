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659563C3-6683-4CE5-9485-D6BF41E8CBD6}" xr6:coauthVersionLast="28" xr6:coauthVersionMax="28" xr10:uidLastSave="{00000000-0000-0000-0000-000000000000}"/>
  <workbookProtection workbookAlgorithmName="SHA-512" workbookHashValue="8Tw5vkWV/+ULpfgCKNCmeypoSU2L14Tl76zuJbR7Gk10FaXIRcdS0y87TbBHUE6fqmyt6IA8OAjnGFoXZdvSRQ==" workbookSaltValue="sqUUTNE0fF+4r2N4kCVO1Q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D1" i="5" l="1"/>
  <c r="AD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C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Y36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AH34" i="3"/>
  <c r="AB1" i="5"/>
  <c r="AC1" i="5"/>
  <c r="AC2" i="3"/>
  <c r="AB2" i="5"/>
  <c r="AD2" i="3"/>
  <c r="AC3" i="3"/>
  <c r="AB3" i="5"/>
  <c r="AD3" i="3"/>
  <c r="AC4" i="3"/>
  <c r="AB4" i="5"/>
  <c r="AD4" i="3"/>
  <c r="AC5" i="3"/>
  <c r="AB5" i="5"/>
  <c r="AD5" i="3"/>
  <c r="AC6" i="3"/>
  <c r="AB6" i="5"/>
  <c r="AD6" i="3"/>
  <c r="AC7" i="3"/>
  <c r="AB7" i="5"/>
  <c r="AD7" i="3"/>
  <c r="AC8" i="3"/>
  <c r="AB8" i="5"/>
  <c r="AD8" i="3"/>
  <c r="AC9" i="3"/>
  <c r="AB9" i="5"/>
  <c r="AD9" i="3"/>
  <c r="AC10" i="3"/>
  <c r="AB10" i="5"/>
  <c r="AD10" i="3"/>
  <c r="AC11" i="3"/>
  <c r="AB11" i="5"/>
  <c r="AD11" i="3"/>
  <c r="AC12" i="3"/>
  <c r="AB12" i="5"/>
  <c r="AD12" i="3"/>
  <c r="AC13" i="3"/>
  <c r="AB13" i="5"/>
  <c r="AD13" i="3"/>
  <c r="AC14" i="3"/>
  <c r="AB14" i="5"/>
  <c r="AD14" i="3"/>
  <c r="AC15" i="3"/>
  <c r="AB15" i="5"/>
  <c r="AD15" i="3"/>
  <c r="AC16" i="3"/>
  <c r="AB16" i="5"/>
  <c r="AD16" i="3"/>
  <c r="AC17" i="3"/>
  <c r="AB17" i="5"/>
  <c r="AD17" i="3"/>
  <c r="AC18" i="3"/>
  <c r="AB18" i="5"/>
  <c r="AD18" i="3"/>
  <c r="AC19" i="3"/>
  <c r="AB19" i="5"/>
  <c r="AD19" i="3"/>
  <c r="AC20" i="3"/>
  <c r="AB20" i="5"/>
  <c r="AD20" i="3"/>
  <c r="AC21" i="3"/>
  <c r="AB21" i="5"/>
  <c r="AD21" i="3"/>
  <c r="AC22" i="3"/>
  <c r="AB22" i="5"/>
  <c r="AD22" i="3"/>
  <c r="AC23" i="3"/>
  <c r="AB23" i="5"/>
  <c r="AD23" i="3"/>
  <c r="AC24" i="3"/>
  <c r="AB24" i="5"/>
  <c r="AD24" i="3"/>
  <c r="AC25" i="3"/>
  <c r="AB25" i="5"/>
  <c r="AD25" i="3"/>
  <c r="AC26" i="3"/>
  <c r="AB26" i="5"/>
  <c r="AD26" i="3"/>
  <c r="AC27" i="3"/>
  <c r="AB27" i="5"/>
  <c r="AD27" i="3"/>
  <c r="AC28" i="3"/>
  <c r="AB28" i="5"/>
  <c r="AD28" i="3"/>
  <c r="AC29" i="3"/>
  <c r="AB29" i="5"/>
  <c r="AD29" i="3"/>
  <c r="AC30" i="3"/>
  <c r="AB30" i="5"/>
  <c r="AD30" i="3"/>
  <c r="AC31" i="3"/>
  <c r="AB31" i="5"/>
  <c r="AD31" i="3"/>
  <c r="AC32" i="3"/>
  <c r="AB32" i="5"/>
  <c r="AD32" i="3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<sst xmlns="http://schemas.openxmlformats.org/spreadsheetml/2006/main" count="620" uniqueCount="77">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</sst>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0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14" fillId="2" borderId="0" xfId="0" applyFont="1" applyFill="1" applyBorder="1" applyAlignment="1">
      <alignment horizontal="center" vertical="center" wrapText="1"/>
    </xf>
    <xf numFmtId="49" fontId="0" fillId="2" borderId="0" xfId="0" applyNumberFormat="1" applyFill="1" applyProtection="1">
      <protection hidden="1"/>
    </xf>
    <xf numFmtId="0" fontId="16" fillId="2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 wrapText="1"/>
    </xf>
    <xf numFmtId="49" fontId="1" fillId="2" borderId="0" xfId="0" applyNumberFormat="1" applyFont="1" applyFill="1" applyProtection="1">
      <protection hidden="1"/>
    </xf>
    <xf numFmtId="49" fontId="0" fillId="2" borderId="0" xfId="0" applyNumberFormat="1" applyFont="1" applyFill="1" applyProtection="1">
      <protection hidden="1"/>
    </xf>
    <xf numFmtId="0" fontId="19" fillId="2" borderId="0" xfId="0" applyFont="1" applyFill="1" applyBorder="1" applyAlignment="1">
      <alignment horizontal="right" wrapText="1"/>
    </xf>
    <xf numFmtId="0" fontId="20" fillId="0" borderId="0" xfId="0" applyFont="1" applyFill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AA30" sqref="AA30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CT</v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Tam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>Trauma</v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/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Yeh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x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>SHY</v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Nicholson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>Trauma</v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Cyr</v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/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/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/>
      </c>
      <c r="Q13" s="20" t="str">
        <f>IF(ISBLANK(Master!Q13),"",Master!Q13)</f>
        <v>CHP Jr.</v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Nicholson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>Trauma</v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Myers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>Trauma</v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Van Der Windt</v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>CT</v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/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Handzel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/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>SHY</v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Dadashzadeh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/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NEEDS COVERAGE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17" priority="17">
      <formula>LEN(TRIM(W1))&gt;0</formula>
    </cfRule>
  </conditionalFormatting>
  <conditionalFormatting sqref="X1:X1048576">
    <cfRule type="notContainsBlanks" dxfId="16" priority="16">
      <formula>LEN(TRIM(X1))&gt;0</formula>
    </cfRule>
  </conditionalFormatting>
  <conditionalFormatting sqref="Y1:Z1048576">
    <cfRule type="notContainsBlanks" dxfId="15" priority="15">
      <formula>LEN(TRIM(Y1))&gt;0</formula>
    </cfRule>
  </conditionalFormatting>
  <conditionalFormatting sqref="V2:V32">
    <cfRule type="cellIs" dxfId="14" priority="125" operator="equal">
      <formula>$X$1</formula>
    </cfRule>
    <cfRule type="cellIs" dxfId="13" priority="126" operator="equal">
      <formula>$Z$1</formula>
    </cfRule>
    <cfRule type="cellIs" dxfId="12" priority="127" operator="equal">
      <formula>$Y$1</formula>
    </cfRule>
    <cfRule type="cellIs" dxfId="11" priority="128" operator="equal">
      <formula>$AA$1</formula>
    </cfRule>
    <cfRule type="cellIs" dxfId="10" priority="129" operator="equal">
      <formula>$W$1</formula>
    </cfRule>
  </conditionalFormatting>
  <conditionalFormatting sqref="AA1:AA33">
    <cfRule type="notContainsBlanks" dxfId="9" priority="11">
      <formula>LEN(TRIM(AA1))&gt;0</formula>
    </cfRule>
  </conditionalFormatting>
  <conditionalFormatting sqref="AB1:AB32">
    <cfRule type="notContainsBlanks" dxfId="8" priority="10">
      <formula>LEN(TRIM(AB1))&gt;0</formula>
    </cfRule>
  </conditionalFormatting>
  <conditionalFormatting sqref="AC1:AC32">
    <cfRule type="notContainsBlanks" dxfId="7" priority="9">
      <formula>LEN(TRIM(AC1))&gt;0</formula>
    </cfRule>
  </conditionalFormatting>
  <conditionalFormatting sqref="C2:U32">
    <cfRule type="cellIs" dxfId="6" priority="3" operator="equal">
      <formula>"CT"</formula>
    </cfRule>
    <cfRule type="cellIs" dxfId="5" priority="4" operator="equal">
      <formula>"CHP Jr."</formula>
    </cfRule>
    <cfRule type="cellIs" dxfId="4" priority="5" operator="equal">
      <formula>"CHP Sr."</formula>
    </cfRule>
    <cfRule type="cellIs" dxfId="3" priority="6" operator="equal">
      <formula>"SHY"</formula>
    </cfRule>
    <cfRule type="cellIs" dxfId="2" priority="7" operator="equal">
      <formula>"Trauma"</formula>
    </cfRule>
    <cfRule type="cellIs" dxfId="1" priority="2" operator="equal">
      <formula>"SMH"</formula>
    </cfRule>
  </conditionalFormatting>
  <conditionalFormatting sqref="AD1:AD32">
    <cfRule type="notContainsBlanks" dxfId="0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N35" sqref="AN35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2" hidden="1" customWidth="1"/>
    <col min="40" max="40" width="7.4609375" style="2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2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1"/>
      <c r="H2" s="1" t="s">
        <v>39</v>
      </c>
      <c r="I2" s="1" t="s">
        <v>39</v>
      </c>
      <c r="J2" s="1" t="s">
        <v>3</v>
      </c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1">
        <v>1</v>
      </c>
      <c r="R2" s="1" t="s">
        <v>39</v>
      </c>
      <c r="S2" s="1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Tam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39"/>
      <c r="AG2" s="1" t="s">
        <v>39</v>
      </c>
      <c r="AH2" s="1" t="s">
        <v>39</v>
      </c>
      <c r="AI2" s="1"/>
      <c r="AJ2" s="1"/>
      <c r="AK2" s="1" t="s">
        <v>39</v>
      </c>
      <c r="AM2" s="23"/>
      <c r="AN2" s="28"/>
      <c r="AO2" s="14"/>
    </row>
    <row r="3" spans="1:41" x14ac:dyDescent="0.4">
      <c r="A3" s="1" t="s">
        <v>8</v>
      </c>
      <c r="B3" s="9">
        <v>2</v>
      </c>
      <c r="C3" s="1"/>
      <c r="D3" s="1"/>
      <c r="E3" s="1" t="s">
        <v>2</v>
      </c>
      <c r="F3" s="1"/>
      <c r="G3" s="1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1"/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Yeh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39"/>
      <c r="AG3" s="1" t="s">
        <v>39</v>
      </c>
      <c r="AH3" s="1" t="s">
        <v>39</v>
      </c>
      <c r="AI3" s="1"/>
      <c r="AJ3" s="1"/>
      <c r="AK3" s="1" t="s">
        <v>39</v>
      </c>
      <c r="AM3" s="23"/>
      <c r="AN3" s="31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39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1" t="s">
        <v>23</v>
      </c>
      <c r="R4" s="1" t="s">
        <v>39</v>
      </c>
      <c r="S4" s="1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Nicholson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39"/>
      <c r="AG4" s="1" t="s">
        <v>39</v>
      </c>
      <c r="AH4" s="1" t="s">
        <v>39</v>
      </c>
      <c r="AI4" s="1"/>
      <c r="AJ4" s="1"/>
      <c r="AK4" s="1" t="s">
        <v>39</v>
      </c>
      <c r="AM4" s="23"/>
      <c r="AN4" s="30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1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1"/>
      <c r="R5" s="1" t="s">
        <v>39</v>
      </c>
      <c r="S5" s="1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39"/>
      <c r="AG5" s="1" t="s">
        <v>39</v>
      </c>
      <c r="AH5" s="1" t="s">
        <v>39</v>
      </c>
      <c r="AI5" s="1"/>
      <c r="AJ5" s="1"/>
      <c r="AK5" s="1" t="s">
        <v>39</v>
      </c>
      <c r="AM5" s="23"/>
      <c r="AN5" s="32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1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1"/>
      <c r="R6" s="1" t="s">
        <v>39</v>
      </c>
      <c r="S6" s="1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39"/>
      <c r="AG6" s="1"/>
      <c r="AH6" s="1" t="s">
        <v>39</v>
      </c>
      <c r="AI6" s="1"/>
      <c r="AJ6" s="1"/>
      <c r="AK6" s="1" t="s">
        <v>39</v>
      </c>
      <c r="AM6" s="23"/>
      <c r="AN6" s="33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1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1"/>
      <c r="R7" s="1" t="s">
        <v>39</v>
      </c>
      <c r="S7" s="1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39"/>
      <c r="AG7" s="1"/>
      <c r="AH7" s="1"/>
      <c r="AI7" s="1"/>
      <c r="AJ7" s="1"/>
      <c r="AK7" s="1" t="s">
        <v>39</v>
      </c>
      <c r="AM7" s="23"/>
      <c r="AN7" s="30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1"/>
      <c r="R8" s="1" t="s">
        <v>39</v>
      </c>
      <c r="S8" s="1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39"/>
      <c r="AG8" s="1" t="s">
        <v>39</v>
      </c>
      <c r="AH8" s="1"/>
      <c r="AI8" s="1"/>
      <c r="AJ8" s="1"/>
      <c r="AK8" s="1" t="s">
        <v>39</v>
      </c>
      <c r="AM8" s="23"/>
      <c r="AN8" s="32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1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39"/>
      <c r="AG9" s="1" t="s">
        <v>39</v>
      </c>
      <c r="AH9" s="1" t="s">
        <v>39</v>
      </c>
      <c r="AI9" s="1"/>
      <c r="AJ9" s="1"/>
      <c r="AK9" s="1" t="s">
        <v>39</v>
      </c>
      <c r="AM9" s="23"/>
      <c r="AN9" s="31"/>
      <c r="AO9" s="14"/>
    </row>
    <row r="10" spans="1:41" x14ac:dyDescent="0.4">
      <c r="A10" s="1" t="s">
        <v>8</v>
      </c>
      <c r="B10" s="9">
        <v>9</v>
      </c>
      <c r="C10" s="1"/>
      <c r="D10" s="1"/>
      <c r="E10" s="1" t="s">
        <v>39</v>
      </c>
      <c r="F10" s="1"/>
      <c r="G10" s="1" t="s">
        <v>39</v>
      </c>
      <c r="H10" s="1"/>
      <c r="I10" s="1" t="s">
        <v>39</v>
      </c>
      <c r="J10" s="1" t="s">
        <v>39</v>
      </c>
      <c r="K10" s="1" t="s">
        <v>2</v>
      </c>
      <c r="L10" s="1"/>
      <c r="M10" s="1" t="s">
        <v>3</v>
      </c>
      <c r="N10" s="1" t="s">
        <v>39</v>
      </c>
      <c r="O10" s="1"/>
      <c r="P10" s="1"/>
      <c r="Q10" s="1" t="s">
        <v>23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W10" s="3" t="s">
        <v>69</v>
      </c>
      <c r="X10" s="1" t="str">
        <f t="shared" si="2"/>
        <v>Cyr</v>
      </c>
      <c r="Y10" s="1" t="str">
        <f t="shared" si="3"/>
        <v>Nicholson</v>
      </c>
      <c r="Z10" s="1" t="str">
        <f t="shared" si="4"/>
        <v/>
      </c>
      <c r="AA10" s="1" t="str">
        <f t="shared" si="5"/>
        <v/>
      </c>
      <c r="AB10" s="1" t="str">
        <f t="shared" si="6"/>
        <v>Gallagher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39"/>
      <c r="AG10" s="1" t="s">
        <v>39</v>
      </c>
      <c r="AH10" s="1" t="s">
        <v>39</v>
      </c>
      <c r="AI10" s="1"/>
      <c r="AJ10" s="1"/>
      <c r="AK10" s="1" t="s">
        <v>39</v>
      </c>
      <c r="AM10" s="23"/>
      <c r="AN10" s="33"/>
      <c r="AO10" s="14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1" t="s">
        <v>39</v>
      </c>
      <c r="H11" s="1"/>
      <c r="I11" s="1" t="s">
        <v>39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/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39"/>
      <c r="AG11" s="1"/>
      <c r="AH11" s="1" t="s">
        <v>39</v>
      </c>
      <c r="AI11" s="1"/>
      <c r="AJ11" s="1"/>
      <c r="AK11" s="1" t="s">
        <v>39</v>
      </c>
      <c r="AM11" s="23"/>
      <c r="AN11" s="28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1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39"/>
      <c r="AG12" s="1" t="s">
        <v>39</v>
      </c>
      <c r="AH12" s="1" t="s">
        <v>39</v>
      </c>
      <c r="AI12" s="1"/>
      <c r="AJ12" s="1"/>
      <c r="AK12" s="1" t="s">
        <v>39</v>
      </c>
      <c r="AM12" s="23"/>
      <c r="AN12" s="30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1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/>
      <c r="Q13" s="1" t="s">
        <v>21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Nicholson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39"/>
      <c r="AG13" s="1"/>
      <c r="AH13" s="1" t="s">
        <v>39</v>
      </c>
      <c r="AI13" s="1"/>
      <c r="AJ13" s="1" t="s">
        <v>39</v>
      </c>
      <c r="AK13" s="1" t="s">
        <v>39</v>
      </c>
      <c r="AM13" s="23"/>
      <c r="AN13" s="31"/>
      <c r="AO13" s="14"/>
    </row>
    <row r="14" spans="1:41" x14ac:dyDescent="0.4">
      <c r="A14" s="1" t="s">
        <v>5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/>
      <c r="I14" s="1" t="s">
        <v>39</v>
      </c>
      <c r="J14" s="1" t="s">
        <v>39</v>
      </c>
      <c r="K14" s="1"/>
      <c r="L14" s="1" t="s">
        <v>39</v>
      </c>
      <c r="M14" s="1" t="s">
        <v>39</v>
      </c>
      <c r="N14" s="1" t="s">
        <v>39</v>
      </c>
      <c r="O14" s="1"/>
      <c r="P14" s="1" t="s">
        <v>2</v>
      </c>
      <c r="Q14" s="1"/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66</v>
      </c>
      <c r="X14" s="1" t="str">
        <f t="shared" si="2"/>
        <v>Myers</v>
      </c>
      <c r="Y14" s="1" t="str">
        <f t="shared" si="3"/>
        <v/>
      </c>
      <c r="Z14" s="1" t="str">
        <f t="shared" si="4"/>
        <v/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39"/>
      <c r="AG14" s="1" t="s">
        <v>39</v>
      </c>
      <c r="AH14" s="1"/>
      <c r="AI14" s="1"/>
      <c r="AJ14" s="1"/>
      <c r="AK14" s="1" t="s">
        <v>39</v>
      </c>
      <c r="AM14" s="23"/>
      <c r="AN14" s="33"/>
      <c r="AO14" s="14"/>
    </row>
    <row r="15" spans="1:41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1" t="s">
        <v>39</v>
      </c>
      <c r="R15" s="1" t="s">
        <v>39</v>
      </c>
      <c r="S15" s="1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39"/>
      <c r="AG15" s="1"/>
      <c r="AH15" s="1"/>
      <c r="AI15" s="1"/>
      <c r="AJ15" s="1"/>
      <c r="AK15" s="1" t="s">
        <v>39</v>
      </c>
      <c r="AM15" s="23"/>
      <c r="AN15" s="33"/>
      <c r="AO15" s="14"/>
    </row>
    <row r="16" spans="1:41" x14ac:dyDescent="0.4">
      <c r="A16" s="1" t="s">
        <v>7</v>
      </c>
      <c r="B16" s="9">
        <v>15</v>
      </c>
      <c r="C16" s="1" t="s">
        <v>22</v>
      </c>
      <c r="D16" s="1" t="s">
        <v>2</v>
      </c>
      <c r="E16" s="1" t="s">
        <v>39</v>
      </c>
      <c r="F16" s="1" t="s">
        <v>39</v>
      </c>
      <c r="G16" s="1" t="s">
        <v>39</v>
      </c>
      <c r="H16" s="1" t="s">
        <v>23</v>
      </c>
      <c r="I16" s="1" t="s">
        <v>39</v>
      </c>
      <c r="J16" s="1" t="s">
        <v>39</v>
      </c>
      <c r="K16" s="1"/>
      <c r="L16" s="1" t="s">
        <v>39</v>
      </c>
      <c r="M16" s="1" t="s">
        <v>39</v>
      </c>
      <c r="N16" s="1" t="s">
        <v>39</v>
      </c>
      <c r="O16" s="1"/>
      <c r="P16" s="1"/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W16" s="3" t="s">
        <v>73</v>
      </c>
      <c r="X16" s="1" t="str">
        <f t="shared" si="2"/>
        <v>Van Der Windt</v>
      </c>
      <c r="Y16" s="1" t="str">
        <f t="shared" si="3"/>
        <v>Okolo</v>
      </c>
      <c r="Z16" s="1" t="str">
        <f t="shared" si="4"/>
        <v>Dyer</v>
      </c>
      <c r="AA16" s="1" t="str">
        <f t="shared" si="5"/>
        <v/>
      </c>
      <c r="AB16" s="1" t="str">
        <f t="shared" si="6"/>
        <v>NEEDS COVERAGE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39"/>
      <c r="AG16" s="1" t="s">
        <v>39</v>
      </c>
      <c r="AH16" s="1" t="s">
        <v>39</v>
      </c>
      <c r="AI16" s="1" t="s">
        <v>39</v>
      </c>
      <c r="AJ16" s="1"/>
      <c r="AK16" s="1" t="s">
        <v>39</v>
      </c>
      <c r="AM16" s="23"/>
      <c r="AN16" s="28"/>
      <c r="AO16" s="14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1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1" t="s">
        <v>39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39"/>
      <c r="AG17" s="1"/>
      <c r="AH17" s="1" t="s">
        <v>39</v>
      </c>
      <c r="AI17" s="1"/>
      <c r="AJ17" s="1" t="s">
        <v>39</v>
      </c>
      <c r="AK17" s="1" t="s">
        <v>39</v>
      </c>
      <c r="AM17" s="23"/>
      <c r="AN17" s="32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1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1" t="s">
        <v>39</v>
      </c>
      <c r="R18" s="1" t="s">
        <v>39</v>
      </c>
      <c r="S18" s="1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39"/>
      <c r="AG18" s="1"/>
      <c r="AH18" s="1" t="s">
        <v>39</v>
      </c>
      <c r="AI18" s="1"/>
      <c r="AJ18" s="1"/>
      <c r="AK18" s="1" t="s">
        <v>39</v>
      </c>
      <c r="AM18" s="23"/>
      <c r="AN18" s="30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1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1" t="s">
        <v>39</v>
      </c>
      <c r="R19" s="1" t="s">
        <v>39</v>
      </c>
      <c r="S19" s="1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39"/>
      <c r="AG19" s="1" t="s">
        <v>39</v>
      </c>
      <c r="AH19" s="1" t="s">
        <v>39</v>
      </c>
      <c r="AI19" s="1"/>
      <c r="AJ19" s="1"/>
      <c r="AK19" s="1" t="s">
        <v>39</v>
      </c>
      <c r="AM19" s="23"/>
      <c r="AN19" s="31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1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39"/>
      <c r="AG20" s="1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2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39"/>
      <c r="AG21" s="1"/>
      <c r="AH21" s="1"/>
      <c r="AI21" s="1"/>
      <c r="AJ21" s="1" t="s">
        <v>39</v>
      </c>
      <c r="AK21" s="1" t="s">
        <v>39</v>
      </c>
      <c r="AM21" s="23"/>
      <c r="AN21" s="32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1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39"/>
      <c r="AG22" s="1" t="s">
        <v>39</v>
      </c>
      <c r="AH22" s="1"/>
      <c r="AI22" s="1"/>
      <c r="AJ22" s="1"/>
      <c r="AK22" s="1" t="s">
        <v>39</v>
      </c>
      <c r="AM22" s="23"/>
      <c r="AN22" s="30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1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39"/>
      <c r="AG23" s="1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28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1" t="s">
        <v>3</v>
      </c>
      <c r="H24" s="1"/>
      <c r="I24" s="1"/>
      <c r="J24" s="1" t="s">
        <v>39</v>
      </c>
      <c r="K24" s="1"/>
      <c r="L24" s="1"/>
      <c r="M24" s="1" t="s">
        <v>39</v>
      </c>
      <c r="N24" s="1"/>
      <c r="O24" s="1"/>
      <c r="P24" s="1"/>
      <c r="Q24" s="1"/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Handzel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39"/>
      <c r="AG24" s="1"/>
      <c r="AH24" s="1" t="s">
        <v>39</v>
      </c>
      <c r="AI24" s="1" t="s">
        <v>39</v>
      </c>
      <c r="AJ24" s="1"/>
      <c r="AK24" s="1" t="s">
        <v>39</v>
      </c>
      <c r="AM24" s="23"/>
      <c r="AN24" s="28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 t="s">
        <v>22</v>
      </c>
      <c r="I25" s="1"/>
      <c r="J25" s="1" t="s">
        <v>39</v>
      </c>
      <c r="K25" s="1"/>
      <c r="L25" s="1" t="s">
        <v>23</v>
      </c>
      <c r="M25" s="1" t="s">
        <v>39</v>
      </c>
      <c r="N25" s="1"/>
      <c r="O25" s="1"/>
      <c r="P25" s="1" t="s">
        <v>2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Dadashzadeh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39"/>
      <c r="AG25" s="1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31"/>
      <c r="AO25" s="14"/>
    </row>
    <row r="26" spans="1:41" x14ac:dyDescent="0.4">
      <c r="A26" s="1" t="s">
        <v>4</v>
      </c>
      <c r="B26" s="9">
        <v>25</v>
      </c>
      <c r="C26" s="1" t="s">
        <v>39</v>
      </c>
      <c r="D26" s="1"/>
      <c r="E26" s="1" t="s">
        <v>39</v>
      </c>
      <c r="F26" s="1" t="s">
        <v>39</v>
      </c>
      <c r="G26" s="1"/>
      <c r="H26" s="1"/>
      <c r="I26" s="1"/>
      <c r="J26" s="1" t="s">
        <v>3</v>
      </c>
      <c r="K26" s="1" t="s">
        <v>23</v>
      </c>
      <c r="L26" s="1"/>
      <c r="M26" s="1" t="s">
        <v>39</v>
      </c>
      <c r="N26" s="1"/>
      <c r="O26" s="1"/>
      <c r="P26" s="1"/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>Cyr</v>
      </c>
      <c r="Z26" s="1" t="str">
        <f t="shared" si="4"/>
        <v/>
      </c>
      <c r="AA26" s="1" t="str">
        <f t="shared" si="5"/>
        <v>Nicholson</v>
      </c>
      <c r="AB26" s="1" t="str">
        <f t="shared" si="6"/>
        <v>Tam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39"/>
      <c r="AG26" s="1"/>
      <c r="AH26" s="1" t="s">
        <v>39</v>
      </c>
      <c r="AI26" s="1"/>
      <c r="AJ26" s="1" t="s">
        <v>39</v>
      </c>
      <c r="AK26" s="1" t="s">
        <v>39</v>
      </c>
      <c r="AM26" s="23"/>
      <c r="AN26" s="33"/>
      <c r="AO26" s="14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1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39"/>
      <c r="AG27" s="1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2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1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39"/>
      <c r="AG28" s="1" t="s">
        <v>39</v>
      </c>
      <c r="AH28" s="1"/>
      <c r="AI28" s="1"/>
      <c r="AJ28" s="1" t="s">
        <v>39</v>
      </c>
      <c r="AK28" s="1" t="s">
        <v>39</v>
      </c>
      <c r="AM28" s="23"/>
      <c r="AN28" s="30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1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39"/>
      <c r="AG29" s="1" t="s">
        <v>39</v>
      </c>
      <c r="AH29" s="1"/>
      <c r="AI29" s="1"/>
      <c r="AJ29" s="1"/>
      <c r="AK29" s="1" t="s">
        <v>39</v>
      </c>
      <c r="AM29" s="23"/>
      <c r="AN29" s="31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39</v>
      </c>
      <c r="L30" s="1"/>
      <c r="M30" s="1" t="s">
        <v>23</v>
      </c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NEEDS COVERAGE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39"/>
      <c r="AG30" s="1"/>
      <c r="AH30" s="1" t="s">
        <v>39</v>
      </c>
      <c r="AI30" s="1"/>
      <c r="AJ30" s="1"/>
      <c r="AK30" s="1" t="s">
        <v>39</v>
      </c>
      <c r="AM30" s="23"/>
      <c r="AN30" s="32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 t="s">
        <v>39</v>
      </c>
      <c r="AH31" s="1" t="s">
        <v>39</v>
      </c>
      <c r="AI31" s="1"/>
      <c r="AJ31" s="1"/>
      <c r="AK31" s="1" t="s">
        <v>39</v>
      </c>
      <c r="AM31" s="23"/>
      <c r="AN31" s="28"/>
      <c r="AO31" s="14"/>
    </row>
    <row r="32" spans="1:41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/>
      <c r="AH32" s="1"/>
      <c r="AI32" s="1"/>
      <c r="AJ32" s="1"/>
      <c r="AK32" s="1"/>
      <c r="AM32" s="23"/>
      <c r="AN32" s="33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4"/>
      <c r="AN33" s="34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7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7" t="s">
        <v>50</v>
      </c>
      <c r="R34" s="7" t="s">
        <v>62</v>
      </c>
      <c r="S34" s="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8">
        <f>COUNTIF(AN2:AN32,"x")</f>
        <v>1</v>
      </c>
    </row>
    <row r="35" spans="1:40" s="29" customFormat="1" x14ac:dyDescent="0.4">
      <c r="A35" s="2" t="s">
        <v>12</v>
      </c>
      <c r="B35" s="27"/>
      <c r="C35" s="2">
        <f t="shared" ref="C35:O35" si="7">COUNTIF(C2:C32,"Trauma")+COUNTIF(C2:C32,"CHP*")+COUNTIF(C2:C32,"SHY")+COUNTIF(C2:C32,"CT")+COUNTIF(C2:C32,"6FG")+COUNTIF(C2:C32,"VASC")+COUNTIF(C2:C32,"SMH")</f>
        <v>4</v>
      </c>
      <c r="D35" s="2">
        <f t="shared" si="7"/>
        <v>5</v>
      </c>
      <c r="E35" s="2">
        <f t="shared" si="7"/>
        <v>3</v>
      </c>
      <c r="F35" s="2">
        <f t="shared" si="7"/>
        <v>3</v>
      </c>
      <c r="G35" s="2">
        <f t="shared" si="7"/>
        <v>5</v>
      </c>
      <c r="H35" s="2">
        <f t="shared" si="7"/>
        <v>5</v>
      </c>
      <c r="I35" s="2">
        <f t="shared" si="7"/>
        <v>5</v>
      </c>
      <c r="J35" s="2">
        <f t="shared" si="7"/>
        <v>5</v>
      </c>
      <c r="K35" s="2">
        <f t="shared" si="7"/>
        <v>3</v>
      </c>
      <c r="L35" s="2">
        <f t="shared" si="7"/>
        <v>5</v>
      </c>
      <c r="M35" s="2">
        <f t="shared" si="7"/>
        <v>5</v>
      </c>
      <c r="N35" s="2">
        <f t="shared" si="7"/>
        <v>3</v>
      </c>
      <c r="O35" s="2">
        <f t="shared" si="7"/>
        <v>4</v>
      </c>
      <c r="P35" s="2">
        <f>COUNTIF(P2:P32,"Trauma")+COUNTIF(P2:P32,"CHP*")+COUNTIF(P2:P32,"SHY")+COUNTIF(P2:P32,"CT")+COUNTIF(P2:P32,"6FG")+COUNTIF(P2:P32,"VASC")+COUNTIF(P2:P32,"SMH")</f>
        <v>5</v>
      </c>
      <c r="Q35" s="2">
        <f t="shared" ref="Q35:V35" si="8">COUNTIF(Q2:Q32,"Trauma")+COUNTIF(Q2:Q32,"CHP*")+COUNTIF(Q2:Q32,"SHY")+COUNTIF(Q2:Q32,"CT")+COUNTIF(Q2:Q32,"6FG")+COUNTIF(Q2:Q32,"VASC")+COUNTIF(Q2:Q32,"SMH")</f>
        <v>4</v>
      </c>
      <c r="R35" s="2">
        <f t="shared" si="8"/>
        <v>0</v>
      </c>
      <c r="S35" s="2">
        <f t="shared" si="8"/>
        <v>6</v>
      </c>
      <c r="T35" s="2">
        <f t="shared" si="8"/>
        <v>0</v>
      </c>
      <c r="U35" s="2">
        <f t="shared" si="8"/>
        <v>0</v>
      </c>
      <c r="V35" s="2">
        <f t="shared" si="8"/>
        <v>0</v>
      </c>
      <c r="W35" s="5"/>
      <c r="Z35" s="37"/>
      <c r="AA35" s="37"/>
      <c r="AB35" s="37"/>
      <c r="AC35" s="37"/>
      <c r="AD35" s="37"/>
      <c r="AE35" s="37"/>
      <c r="AF35" s="37"/>
      <c r="AL35" s="27"/>
      <c r="AM35" s="36"/>
      <c r="AN35" s="34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9">
        <f t="shared" si="9"/>
        <v>4</v>
      </c>
      <c r="R36" s="9">
        <f t="shared" si="9"/>
        <v>0</v>
      </c>
      <c r="S36" s="9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4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4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70</v>
      </c>
      <c r="AN38" s="34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1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0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4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9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4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0</v>
      </c>
      <c r="Q41" s="9">
        <f t="shared" si="12"/>
        <v>2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4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2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4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0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9">
        <f t="shared" si="12"/>
        <v>0</v>
      </c>
      <c r="R43" s="9">
        <f t="shared" si="12"/>
        <v>0</v>
      </c>
      <c r="S43" s="9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4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1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4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4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1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4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1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1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1</v>
      </c>
      <c r="Q47" s="1">
        <f t="shared" si="21"/>
        <v>0</v>
      </c>
      <c r="R47" s="1">
        <f t="shared" si="21"/>
        <v>0</v>
      </c>
      <c r="S47" s="1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4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11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11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0.66666666666666663</v>
      </c>
      <c r="F49" s="11">
        <f t="shared" si="22"/>
        <v>0.36666666666666664</v>
      </c>
      <c r="G49" s="11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11">
        <f t="shared" si="22"/>
        <v>0.43333333333333335</v>
      </c>
      <c r="R49" s="11">
        <f t="shared" si="22"/>
        <v>1</v>
      </c>
      <c r="S49" s="11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4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4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4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12"/>
      <c r="R52" s="12"/>
      <c r="S52" s="12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64" priority="103" stopIfTrue="1" operator="containsText" text="CHP Jr.">
      <formula>NOT(ISERROR(SEARCH("CHP Jr.",C2)))</formula>
    </cfRule>
    <cfRule type="containsText" dxfId="63" priority="121" stopIfTrue="1" operator="containsText" text="SHY">
      <formula>NOT(ISERROR(SEARCH("SHY",C2)))</formula>
    </cfRule>
    <cfRule type="containsText" dxfId="62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61" priority="124">
      <formula>LEN(TRIM(Z1))&gt;0</formula>
    </cfRule>
  </conditionalFormatting>
  <conditionalFormatting sqref="S3:T33 H2:T3 P3:P15 M3:M16 L3:L12 N3:N8 K3:K11 C2:G32 V2:V32 Q3:T32 H4:R32">
    <cfRule type="containsText" dxfId="60" priority="77" operator="containsText" text="Transplant">
      <formula>NOT(ISERROR(SEARCH("Transplant",C2)))</formula>
    </cfRule>
    <cfRule type="containsText" dxfId="59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58" priority="68" stopIfTrue="1" operator="containsText" text="CHP Jr.">
      <formula>NOT(ISERROR(SEARCH("CHP Jr.",C2)))</formula>
    </cfRule>
    <cfRule type="containsText" dxfId="57" priority="69" stopIfTrue="1" operator="containsText" text="Trauma">
      <formula>NOT(ISERROR(SEARCH("Trauma",C2)))</formula>
    </cfRule>
    <cfRule type="containsText" dxfId="56" priority="70" stopIfTrue="1" operator="containsText" text="SHY">
      <formula>NOT(ISERROR(SEARCH("SHY",C2)))</formula>
    </cfRule>
    <cfRule type="containsText" dxfId="55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54" priority="59">
      <formula>LEN(TRIM(Y1))&gt;0</formula>
    </cfRule>
  </conditionalFormatting>
  <conditionalFormatting sqref="AC1:AC33">
    <cfRule type="notContainsBlanks" dxfId="53" priority="128">
      <formula>LEN(TRIM(AC1))&gt;0</formula>
    </cfRule>
  </conditionalFormatting>
  <conditionalFormatting sqref="AG1:AG33 X1 X36:X1048576 AG35:AG1048576 X33:X34">
    <cfRule type="notContainsBlanks" dxfId="52" priority="129">
      <formula>LEN(TRIM(X1))&gt;0</formula>
    </cfRule>
  </conditionalFormatting>
  <conditionalFormatting sqref="C47:V47">
    <cfRule type="cellIs" dxfId="51" priority="48" operator="greaterThanOrEqual">
      <formula>3</formula>
    </cfRule>
    <cfRule type="cellIs" dxfId="50" priority="49" operator="equal">
      <formula>2</formula>
    </cfRule>
  </conditionalFormatting>
  <conditionalFormatting sqref="V4:V32 S2:T33 C4:R32">
    <cfRule type="containsText" dxfId="49" priority="120" stopIfTrue="1" operator="containsText" text="Trauma">
      <formula>NOT(ISERROR(SEARCH("Trauma",C2)))</formula>
    </cfRule>
  </conditionalFormatting>
  <conditionalFormatting sqref="A39:V39">
    <cfRule type="expression" dxfId="48" priority="45">
      <formula>$A39="Trauma"</formula>
    </cfRule>
  </conditionalFormatting>
  <conditionalFormatting sqref="A40:V40">
    <cfRule type="expression" dxfId="47" priority="43">
      <formula>$A$40="CHP Sr."</formula>
    </cfRule>
  </conditionalFormatting>
  <conditionalFormatting sqref="A41:V41">
    <cfRule type="expression" dxfId="46" priority="41">
      <formula>$A$41="CHP Jr."</formula>
    </cfRule>
  </conditionalFormatting>
  <conditionalFormatting sqref="A46:V46">
    <cfRule type="expression" dxfId="45" priority="37">
      <formula>$A$46="Sun"</formula>
    </cfRule>
  </conditionalFormatting>
  <conditionalFormatting sqref="A42:V42">
    <cfRule type="expression" dxfId="44" priority="36">
      <formula>$A$42="SHY"</formula>
    </cfRule>
  </conditionalFormatting>
  <conditionalFormatting sqref="A43:V43">
    <cfRule type="expression" dxfId="43" priority="35">
      <formula>$A$43="CT"</formula>
    </cfRule>
  </conditionalFormatting>
  <conditionalFormatting sqref="A44:V44">
    <cfRule type="expression" dxfId="42" priority="34">
      <formula>$A$44="Fri"</formula>
    </cfRule>
  </conditionalFormatting>
  <conditionalFormatting sqref="A45:V45">
    <cfRule type="expression" dxfId="41" priority="33">
      <formula>$A$45="Sat"</formula>
    </cfRule>
  </conditionalFormatting>
  <conditionalFormatting sqref="Z37:AM37 X38 AO37:XFD37 A37:W37">
    <cfRule type="cellIs" dxfId="40" priority="30" operator="lessThan">
      <formula>0</formula>
    </cfRule>
    <cfRule type="cellIs" dxfId="39" priority="31" operator="greaterThan">
      <formula>0</formula>
    </cfRule>
  </conditionalFormatting>
  <conditionalFormatting sqref="AL1:AL34">
    <cfRule type="notContainsBlanks" dxfId="38" priority="29">
      <formula>LEN(TRIM(AL1))&gt;0</formula>
    </cfRule>
  </conditionalFormatting>
  <conditionalFormatting sqref="V2:V32 C2:T32">
    <cfRule type="cellIs" dxfId="37" priority="27" operator="equal">
      <formula>$AC$1</formula>
    </cfRule>
  </conditionalFormatting>
  <conditionalFormatting sqref="AG34">
    <cfRule type="notContainsBlanks" dxfId="36" priority="23">
      <formula>LEN(TRIM(AG34))&gt;0</formula>
    </cfRule>
  </conditionalFormatting>
  <conditionalFormatting sqref="AI34:AJ34">
    <cfRule type="notContainsBlanks" dxfId="35" priority="26">
      <formula>LEN(TRIM(AI34))&gt;0</formula>
    </cfRule>
  </conditionalFormatting>
  <conditionalFormatting sqref="AH34">
    <cfRule type="notContainsBlanks" dxfId="34" priority="25">
      <formula>LEN(TRIM(AH34))&gt;0</formula>
    </cfRule>
  </conditionalFormatting>
  <conditionalFormatting sqref="AF31">
    <cfRule type="cellIs" dxfId="33" priority="21" operator="equal">
      <formula>"ERROR"</formula>
    </cfRule>
  </conditionalFormatting>
  <conditionalFormatting sqref="AM2:AM34">
    <cfRule type="notContainsBlanks" dxfId="32" priority="18">
      <formula>LEN(TRIM(AM2))&gt;0</formula>
    </cfRule>
  </conditionalFormatting>
  <conditionalFormatting sqref="AM1">
    <cfRule type="notContainsBlanks" dxfId="31" priority="17">
      <formula>LEN(TRIM(AM1))&gt;0</formula>
    </cfRule>
  </conditionalFormatting>
  <conditionalFormatting sqref="A1:V33">
    <cfRule type="cellIs" dxfId="30" priority="16" operator="equal">
      <formula>$AM$1</formula>
    </cfRule>
  </conditionalFormatting>
  <conditionalFormatting sqref="AD1:AD32 AE2:AE32">
    <cfRule type="notContainsBlanks" dxfId="29" priority="15">
      <formula>LEN(TRIM(AD1))&gt;0</formula>
    </cfRule>
  </conditionalFormatting>
  <conditionalFormatting sqref="AB1 AB33">
    <cfRule type="notContainsBlanks" dxfId="28" priority="14">
      <formula>LEN(TRIM(AB1))&gt;0</formula>
    </cfRule>
  </conditionalFormatting>
  <conditionalFormatting sqref="AK1:AK34">
    <cfRule type="notContainsBlanks" dxfId="27" priority="13">
      <formula>LEN(TRIM(AK1))&gt;0</formula>
    </cfRule>
  </conditionalFormatting>
  <conditionalFormatting sqref="AC2:AE32">
    <cfRule type="cellIs" dxfId="26" priority="11" operator="equal">
      <formula>"ERROR"</formula>
    </cfRule>
  </conditionalFormatting>
  <conditionalFormatting sqref="X2:AB32">
    <cfRule type="cellIs" dxfId="25" priority="4" operator="equal">
      <formula>"ERROR"</formula>
    </cfRule>
  </conditionalFormatting>
  <conditionalFormatting sqref="X2:X32">
    <cfRule type="notContainsBlanks" dxfId="24" priority="8">
      <formula>LEN(TRIM(X2))&gt;0</formula>
    </cfRule>
  </conditionalFormatting>
  <conditionalFormatting sqref="Y2:Y32">
    <cfRule type="notContainsBlanks" dxfId="23" priority="7">
      <formula>LEN(TRIM(Y2))&gt;0</formula>
    </cfRule>
  </conditionalFormatting>
  <conditionalFormatting sqref="Z2:AA32">
    <cfRule type="notContainsBlanks" dxfId="22" priority="6">
      <formula>LEN(TRIM(Z2))&gt;0</formula>
    </cfRule>
  </conditionalFormatting>
  <conditionalFormatting sqref="AB2:AB32">
    <cfRule type="notContainsBlanks" dxfId="21" priority="5">
      <formula>LEN(TRIM(AB2))&gt;0</formula>
    </cfRule>
  </conditionalFormatting>
  <conditionalFormatting sqref="AN1:AN34">
    <cfRule type="notContainsBlanks" dxfId="20" priority="3">
      <formula>LEN(TRIM(AN1))&gt;0</formula>
    </cfRule>
  </conditionalFormatting>
  <conditionalFormatting sqref="AE1:AE32">
    <cfRule type="notContainsBlanks" dxfId="19" priority="2">
      <formula>LEN(TRIM(AE1))&gt;0</formula>
    </cfRule>
  </conditionalFormatting>
  <conditionalFormatting sqref="C2:V32">
    <cfRule type="cellIs" dxfId="18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2018-03-27T20:19:23Z</dcterms:modified>
</cp:coreProperties>
</file>