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eb/2hu881WvqIGp0fhw2vvUnI2/DvOFF8HS0nEQIzKoYRZbfZqhGEU6x/TzqTSh3R/O5XzX1ti3BAidwHAfB7A==" workbookSaltValue="+FgpErdPGSmR5lEQBaIbzA==" workbookSpinCount="100000" lockStructure="1"/>
  <bookViews>
    <workbookView xWindow="0" yWindow="0" windowWidth="15615" windowHeight="3630" xr2:uid="{00000000-000D-0000-FFFF-FFFF00000000}"/>
  </bookViews>
  <sheets>
    <sheet name="October" sheetId="5" r:id="rId1"/>
    <sheet name="Master" sheetId="3" state="hidden" r:id="rId2"/>
  </sheets>
  <calcPr calcId="171027" iterateDelta="1E-4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 l="1"/>
  <c r="X36" i="3"/>
  <c r="AB32" i="3"/>
  <c r="Z1" i="5" l="1"/>
  <c r="AA1" i="5"/>
  <c r="D35" i="3" l="1"/>
  <c r="D35" i="5" s="1"/>
  <c r="E35" i="3"/>
  <c r="F35" i="3"/>
  <c r="F35" i="5" s="1"/>
  <c r="G35" i="3"/>
  <c r="G35" i="5" s="1"/>
  <c r="H35" i="3"/>
  <c r="H35" i="5" s="1"/>
  <c r="I35" i="3"/>
  <c r="J35" i="3"/>
  <c r="J35" i="5" s="1"/>
  <c r="K35" i="3"/>
  <c r="K35" i="5" s="1"/>
  <c r="L35" i="3"/>
  <c r="L37" i="3" s="1"/>
  <c r="M35" i="3"/>
  <c r="M35" i="5" s="1"/>
  <c r="N35" i="3"/>
  <c r="N35" i="5" s="1"/>
  <c r="O35" i="3"/>
  <c r="O35" i="5" s="1"/>
  <c r="P35" i="3"/>
  <c r="Q35" i="3"/>
  <c r="Q35" i="5" s="1"/>
  <c r="R35" i="3"/>
  <c r="R35" i="5" s="1"/>
  <c r="S35" i="3"/>
  <c r="S35" i="5" s="1"/>
  <c r="T35" i="3"/>
  <c r="T37" i="3" s="1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Y4" i="5" s="1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X14" i="5" s="1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Y30" i="5" s="1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 s="1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 s="1"/>
  <c r="Y32" i="3"/>
  <c r="X32" i="5" s="1"/>
  <c r="Z32" i="3"/>
  <c r="Y32" i="5" s="1"/>
  <c r="AA32" i="3"/>
  <c r="Z32" i="5" s="1"/>
  <c r="W32" i="3"/>
  <c r="V32" i="5" s="1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 l="1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<sst xmlns="http://schemas.openxmlformats.org/spreadsheetml/2006/main" count="542" uniqueCount="73">
  <si>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</si>
  <si>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</si>
  <si>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</si>
  <si>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</si>
  <si>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</si>
  <si>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</si>
  <si>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</si>
  <si>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</si>
  <si>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</si>
  <si>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</si>
  <si>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</si>
  <si>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</si>
  <si>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</si>
  <si>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</si>
  <si>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</si>
  <si>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</si>
  <si>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</si>
  <si>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</si>
  <si>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</si>
  <si>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</si>
  <si>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</si>
  <si>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</si>
  <si>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</si>
  <si>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</si>
  <si>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</si>
  <si>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</si>
  <si>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</si>
  <si>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</si>
  <si>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</si>
  <si>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</si>
  <si>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</si>
  <si>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</si>
  <si>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</si>
  <si>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</si>
  <si>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</si>
  <si>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</si>
  <si>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</si>
  <si>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</si>
  <si>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</si>
  <si>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</si>
  <si>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</si>
  <si>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</si>
  <si>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</si>
  <si>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</si>
  <si>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</si>
  <si>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</si>
  <si>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</si>
  <si>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</si>
  <si>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</si>
  <si>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</si>
  <si>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</si>
  <si>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</si>
  <si>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?no Traua</t>
  </si>
  <si>
    <t>? Get 2 trauma</t>
  </si>
  <si>
    <t>calls early in month</t>
  </si>
  <si>
    <t>3-5</t>
  </si>
  <si>
    <t>27-29 can do 3 in a row</t>
  </si>
  <si>
    <t>2</t>
  </si>
  <si>
    <t>5-6</t>
  </si>
  <si>
    <t>2-3</t>
  </si>
  <si>
    <t>0</t>
  </si>
  <si>
    <t>3 calls from 27th onwards</t>
  </si>
  <si>
    <t>more calls towards end of month</t>
  </si>
  <si>
    <t>SPERRY</t>
  </si>
  <si>
    <t>ALARCON</t>
  </si>
  <si>
    <t>ZUCKERBRAUN</t>
  </si>
  <si>
    <t>NEAL</t>
  </si>
  <si>
    <t>KAUTZA</t>
  </si>
  <si>
    <t>MOHAN</t>
  </si>
  <si>
    <t>SCHUCHERT</t>
  </si>
  <si>
    <t>PUYANA</t>
  </si>
  <si>
    <t>FORSYTHE</t>
  </si>
  <si>
    <t>WATSON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</si>
</sst>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1" sqref="I11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27" width="0" style="13" hidden="1" customWidth="1"/>
    <col min="28" max="16384" width="9.28515625" style="13"/>
  </cols>
  <sheetData>
    <row r="1" spans="1:27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25">
      <c r="A2" s="13" t="str">
        <f>IF(ISBLANK(Master!A2),"",Master!A2)</f>
        <v>Sun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 t="str">
        <f>IF(ISBLANK(Master!G2),"",Master!G2)</f>
        <v>Trauma</v>
      </c>
      <c r="H2" s="13" t="str">
        <f>IF(ISBLANK(Master!H2),"",Master!H2)</f>
        <v>x</v>
      </c>
      <c r="I2" s="13">
        <f>IF(ISBLANK(Master!I2),"",Master!I2)</f>
        <v>1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/>
      </c>
      <c r="N2" s="13" t="str">
        <f>IF(ISBLANK(Master!N2),"",Master!N2)</f>
        <v>SHY</v>
      </c>
      <c r="O2" s="13" t="str">
        <f>IF(ISBLANK(Master!O2),"",Master!O2)</f>
        <v>CHP Jr.</v>
      </c>
      <c r="P2" s="13" t="str">
        <f>IF(ISBLANK(Master!P2),"",Master!P2)</f>
        <v>x</v>
      </c>
      <c r="Q2" s="13" t="str">
        <f>IF(ISBLANK(Master!Q2),"",Master!Q2)</f>
        <v>x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Handzel</v>
      </c>
      <c r="W2" s="13" t="str">
        <f>IF(ISBLANK(Master!X2),"",Master!X2)</f>
        <v>Gallagher</v>
      </c>
      <c r="X2" s="13" t="str">
        <f>IF(ISBLANK(Master!Y2),"",Master!Y2)</f>
        <v/>
      </c>
      <c r="Y2" s="13" t="str">
        <f>IF(ISBLANK(Master!Z2),"",Master!Z2)</f>
        <v>Huckaby</v>
      </c>
      <c r="Z2" s="13" t="str">
        <f>IF(ISBLANK(Master!AA2),"",Master!AA2)</f>
        <v>NEEDS COVERAGE</v>
      </c>
      <c r="AA2" s="13" t="str">
        <f>IF(ISBLANK(Master!AB2),"",Master!AB2)</f>
        <v/>
      </c>
    </row>
    <row r="3" spans="1:27" x14ac:dyDescent="0.25">
      <c r="A3" s="13" t="str">
        <f>IF(ISBLANK(Master!A3),"",Master!A3)</f>
        <v>Mon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>CT</v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>x</v>
      </c>
      <c r="H3" s="13" t="str">
        <f>IF(ISBLANK(Master!H3),"",Master!H3)</f>
        <v>SHY</v>
      </c>
      <c r="I3" s="13" t="str">
        <f>IF(ISBLANK(Master!I3),"",Master!I3)</f>
        <v>Trauma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>x</v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>CHP Jr.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Okolo</v>
      </c>
      <c r="W3" s="13" t="str">
        <f>IF(ISBLANK(Master!X3),"",Master!X3)</f>
        <v>Hill (Kirk)</v>
      </c>
      <c r="X3" s="13" t="str">
        <f>IF(ISBLANK(Master!Y3),"",Master!Y3)</f>
        <v/>
      </c>
      <c r="Y3" s="13" t="str">
        <f>IF(ISBLANK(Master!Z3),"",Master!Z3)</f>
        <v>Nicholson</v>
      </c>
      <c r="Z3" s="13" t="str">
        <f>IF(ISBLANK(Master!AA3),"",Master!AA3)</f>
        <v>Van Der Windt</v>
      </c>
      <c r="AA3" s="13" t="str">
        <f>IF(ISBLANK(Master!AB3),"",Master!AB3)</f>
        <v/>
      </c>
    </row>
    <row r="4" spans="1:27" x14ac:dyDescent="0.25">
      <c r="A4" s="13" t="str">
        <f>IF(ISBLANK(Master!A4),"",Master!A4)</f>
        <v>Tue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SHY</v>
      </c>
      <c r="F4" s="13" t="str">
        <f>IF(ISBLANK(Master!F4),"",Master!F4)</f>
        <v/>
      </c>
      <c r="G4" s="13" t="str">
        <f>IF(ISBLANK(Master!G4),"",Master!G4)</f>
        <v>x</v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>CT</v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Yeh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Myers</v>
      </c>
      <c r="AA4" s="13" t="str">
        <f>IF(ISBLANK(Master!AB4),"",Master!AB4)</f>
        <v/>
      </c>
    </row>
    <row r="5" spans="1:27" x14ac:dyDescent="0.25">
      <c r="A5" s="13" t="str">
        <f>IF(ISBLANK(Master!A5),"",Master!A5)</f>
        <v>Wed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CT</v>
      </c>
      <c r="O5" s="13" t="str">
        <f>IF(ISBLANK(Master!O5),"",Master!O5)</f>
        <v/>
      </c>
      <c r="P5" s="13" t="str">
        <f>IF(ISBLANK(Master!P5),"",Master!P5)</f>
        <v>SHY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Kulkarni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Gallagher</v>
      </c>
      <c r="AA5" s="13" t="str">
        <f>IF(ISBLANK(Master!AB5),"",Master!AB5)</f>
        <v/>
      </c>
    </row>
    <row r="6" spans="1:27" x14ac:dyDescent="0.25">
      <c r="A6" s="13" t="str">
        <f>IF(ISBLANK(Master!A6),"",Master!A6)</f>
        <v>Thu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>x</v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>x</v>
      </c>
      <c r="R6" s="13" t="str">
        <f>IF(ISBLANK(Master!R6),"",Master!R6)</f>
        <v>SHY</v>
      </c>
      <c r="S6" s="13" t="str">
        <f>IF(ISBLANK(Master!S6),"",Master!S6)</f>
        <v>CT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Nicholson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Yecies</v>
      </c>
      <c r="AA6" s="13" t="str">
        <f>IF(ISBLANK(Master!AB6),"",Master!AB6)</f>
        <v/>
      </c>
    </row>
    <row r="7" spans="1:27" x14ac:dyDescent="0.25">
      <c r="A7" s="13" t="str">
        <f>IF(ISBLANK(Master!A7),"",Master!A7)</f>
        <v>Fri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Trauma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>x</v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x</v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x</v>
      </c>
      <c r="R7" s="13" t="str">
        <f>IF(ISBLANK(Master!R7),"",Master!R7)</f>
        <v>x</v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>Griepentrog</v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  <c r="AA7" s="13" t="str">
        <f>IF(ISBLANK(Master!AB7),"",Master!AB7)</f>
        <v/>
      </c>
    </row>
    <row r="8" spans="1:27" x14ac:dyDescent="0.25">
      <c r="A8" s="13" t="str">
        <f>IF(ISBLANK(Master!A8),"",Master!A8)</f>
        <v>Sat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x</v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Trauma</v>
      </c>
      <c r="I8" s="13" t="str">
        <f>IF(ISBLANK(Master!I8),"",Master!I8)</f>
        <v>x</v>
      </c>
      <c r="J8" s="13" t="str">
        <f>IF(ISBLANK(Master!J8),"",Master!J8)</f>
        <v>x</v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Hill (Kirk)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  <c r="AA8" s="13" t="str">
        <f>IF(ISBLANK(Master!AB8),"",Master!AB8)</f>
        <v/>
      </c>
    </row>
    <row r="9" spans="1:27" x14ac:dyDescent="0.25">
      <c r="A9" s="13" t="str">
        <f>IF(ISBLANK(Master!A9),"",Master!A9)</f>
        <v>Sun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>SHY</v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x</v>
      </c>
      <c r="R9" s="13" t="str">
        <f>IF(ISBLANK(Master!R9),"",Master!R9)</f>
        <v>x</v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Dadashzadeh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  <c r="AA9" s="13" t="str">
        <f>IF(ISBLANK(Master!AB9),"",Master!AB9)</f>
        <v/>
      </c>
    </row>
    <row r="10" spans="1:27" x14ac:dyDescent="0.25">
      <c r="A10" s="13" t="str">
        <f>IF(ISBLANK(Master!A10),"",Master!A10)</f>
        <v>Mon</v>
      </c>
      <c r="B10" s="13">
        <f>IF(ISBLANK(Master!B10),"",Master!B10)</f>
        <v>9</v>
      </c>
      <c r="C10" s="13" t="str">
        <f>IF(ISBLANK(Master!C10),"",Master!C10)</f>
        <v>CT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SHY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CHP Jr.</v>
      </c>
      <c r="O10" s="13" t="str">
        <f>IF(ISBLANK(Master!O10),"",Master!O10)</f>
        <v>x</v>
      </c>
      <c r="P10" s="13" t="str">
        <f>IF(ISBLANK(Master!P10),"",Master!P10)</f>
        <v/>
      </c>
      <c r="Q10" s="13" t="str">
        <f>IF(ISBLANK(Master!Q10),"",Master!Q10)</f>
        <v>Trauma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Myers</v>
      </c>
      <c r="W10" s="13" t="str">
        <f>IF(ISBLANK(Master!X10),"",Master!X10)</f>
        <v>Griepentrog</v>
      </c>
      <c r="X10" s="13" t="str">
        <f>IF(ISBLANK(Master!Y10),"",Master!Y10)</f>
        <v/>
      </c>
      <c r="Y10" s="13" t="str">
        <f>IF(ISBLANK(Master!Z10),"",Master!Z10)</f>
        <v>Gallagher</v>
      </c>
      <c r="Z10" s="13" t="str">
        <f>IF(ISBLANK(Master!AA10),"",Master!AA10)</f>
        <v>Dyer</v>
      </c>
      <c r="AA10" s="13" t="str">
        <f>IF(ISBLANK(Master!AB10),"",Master!AB10)</f>
        <v/>
      </c>
    </row>
    <row r="11" spans="1:27" x14ac:dyDescent="0.25">
      <c r="A11" s="13" t="str">
        <f>IF(ISBLANK(Master!A11),"",Master!A11)</f>
        <v>Tue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SHY</v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/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>x</v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CHP Jr.</v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Yeh</v>
      </c>
      <c r="X11" s="13" t="str">
        <f>IF(ISBLANK(Master!Y11),"",Master!Y11)</f>
        <v/>
      </c>
      <c r="Y11" s="13" t="str">
        <f>IF(ISBLANK(Master!Z11),"",Master!Z11)</f>
        <v>Kulkarni</v>
      </c>
      <c r="Z11" s="13" t="str">
        <f>IF(ISBLANK(Master!AA11),"",Master!AA11)</f>
        <v>Okolo</v>
      </c>
      <c r="AA11" s="13" t="str">
        <f>IF(ISBLANK(Master!AB11),"",Master!AB11)</f>
        <v/>
      </c>
    </row>
    <row r="12" spans="1:27" x14ac:dyDescent="0.25">
      <c r="A12" s="13" t="str">
        <f>IF(ISBLANK(Master!A12),"",Master!A12)</f>
        <v>Wed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x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>SHY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Trauma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>CT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Huckaby</v>
      </c>
      <c r="W12" s="13" t="str">
        <f>IF(ISBLANK(Master!X12),"",Master!X12)</f>
        <v>Cyr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Nicholson</v>
      </c>
      <c r="AA12" s="13" t="str">
        <f>IF(ISBLANK(Master!AB12),"",Master!AB12)</f>
        <v/>
      </c>
    </row>
    <row r="13" spans="1:27" x14ac:dyDescent="0.25">
      <c r="A13" s="13" t="str">
        <f>IF(ISBLANK(Master!A13),"",Master!A13)</f>
        <v>Thu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>CT</v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>Trauma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Myers</v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Siow</v>
      </c>
      <c r="AA13" s="13" t="str">
        <f>IF(ISBLANK(Master!AB13),"",Master!AB13)</f>
        <v/>
      </c>
    </row>
    <row r="14" spans="1:27" x14ac:dyDescent="0.25">
      <c r="A14" s="13" t="str">
        <f>IF(ISBLANK(Master!A14),"",Master!A14)</f>
        <v>Fri</v>
      </c>
      <c r="B14" s="13">
        <f>IF(ISBLANK(Master!B14),"",Master!B14)</f>
        <v>13</v>
      </c>
      <c r="C14" s="13" t="str">
        <f>IF(ISBLANK(Master!C14),"",Master!C14)</f>
        <v>Trauma</v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>x</v>
      </c>
      <c r="M14" s="13" t="str">
        <f>IF(ISBLANK(Master!M14),"",Master!M14)</f>
        <v>CHP Jr.</v>
      </c>
      <c r="N14" s="13" t="str">
        <f>IF(ISBLANK(Master!N14),"",Master!N14)</f>
        <v/>
      </c>
      <c r="O14" s="13" t="str">
        <f>IF(ISBLANK(Master!O14),"",Master!O14)</f>
        <v>x</v>
      </c>
      <c r="P14" s="13" t="str">
        <f>IF(ISBLANK(Master!P14),"",Master!P14)</f>
        <v>x</v>
      </c>
      <c r="Q14" s="13" t="str">
        <f>IF(ISBLANK(Master!Q14),"",Master!Q14)</f>
        <v>x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Dyer</v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>Dadashzadeh</v>
      </c>
      <c r="Z14" s="13" t="str">
        <f>IF(ISBLANK(Master!AA14),"",Master!AA14)</f>
        <v>NEEDS COVERAGE</v>
      </c>
      <c r="AA14" s="13" t="str">
        <f>IF(ISBLANK(Master!AB14),"",Master!AB14)</f>
        <v/>
      </c>
    </row>
    <row r="15" spans="1:27" x14ac:dyDescent="0.25">
      <c r="A15" s="13" t="str">
        <f>IF(ISBLANK(Master!A15),"",Master!A15)</f>
        <v>Sat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>x</v>
      </c>
      <c r="K15" s="13" t="str">
        <f>IF(ISBLANK(Master!K15),"",Master!K15)</f>
        <v>x</v>
      </c>
      <c r="L15" s="13" t="str">
        <f>IF(ISBLANK(Master!L15),"",Master!L15)</f>
        <v>x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>x</v>
      </c>
      <c r="P15" s="13" t="str">
        <f>IF(ISBLANK(Master!P15),"",Master!P15)</f>
        <v>x</v>
      </c>
      <c r="Q15" s="13" t="str">
        <f>IF(ISBLANK(Master!Q15),"",Master!Q15)</f>
        <v>x</v>
      </c>
      <c r="R15" s="13" t="str">
        <f>IF(ISBLANK(Master!R15),"",Master!R15)</f>
        <v>x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  <c r="AA15" s="13" t="str">
        <f>IF(ISBLANK(Master!AB15),"",Master!AB15)</f>
        <v/>
      </c>
    </row>
    <row r="16" spans="1:27" x14ac:dyDescent="0.25">
      <c r="A16" s="13" t="str">
        <f>IF(ISBLANK(Master!A16),"",Master!A16)</f>
        <v>Sun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>SHY</v>
      </c>
      <c r="H16" s="13" t="str">
        <f>IF(ISBLANK(Master!H16),"",Master!H16)</f>
        <v>x</v>
      </c>
      <c r="I16" s="13" t="str">
        <f>IF(ISBLANK(Master!I16),"",Master!I16)</f>
        <v>CHP Sr.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>x</v>
      </c>
      <c r="P16" s="13" t="str">
        <f>IF(ISBLANK(Master!P16),"",Master!P16)</f>
        <v>x</v>
      </c>
      <c r="Q16" s="13" t="str">
        <f>IF(ISBLANK(Master!Q16),"",Master!Q16)</f>
        <v>x</v>
      </c>
      <c r="R16" s="13" t="str">
        <f>IF(ISBLANK(Master!R16),"",Master!R16)</f>
        <v>CT</v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Handzel</v>
      </c>
      <c r="X16" s="13" t="str">
        <f>IF(ISBLANK(Master!Y16),"",Master!Y16)</f>
        <v>Okolo</v>
      </c>
      <c r="Y16" s="13" t="str">
        <f>IF(ISBLANK(Master!Z16),"",Master!Z16)</f>
        <v/>
      </c>
      <c r="Z16" s="13" t="str">
        <f>IF(ISBLANK(Master!AA16),"",Master!AA16)</f>
        <v>Nicholson</v>
      </c>
      <c r="AA16" s="13" t="str">
        <f>IF(ISBLANK(Master!AB16),"",Master!AB16)</f>
        <v/>
      </c>
    </row>
    <row r="17" spans="1:27" x14ac:dyDescent="0.25">
      <c r="A17" s="13" t="str">
        <f>IF(ISBLANK(Master!A17),"",Master!A17)</f>
        <v>Mon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CT</v>
      </c>
      <c r="E17" s="13" t="str">
        <f>IF(ISBLANK(Master!E17),"",Master!E17)</f>
        <v>Trauma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>SHY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>x</v>
      </c>
      <c r="P17" s="13" t="str">
        <f>IF(ISBLANK(Master!P17),"",Master!P17)</f>
        <v/>
      </c>
      <c r="Q17" s="13" t="str">
        <f>IF(ISBLANK(Master!Q17),"",Master!Q17)</f>
        <v>CHP Jr.</v>
      </c>
      <c r="R17" s="13" t="str">
        <f>IF(ISBLANK(Master!R17),"",Master!R17)</f>
        <v/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Yeh</v>
      </c>
      <c r="W17" s="13" t="str">
        <f>IF(ISBLANK(Master!X17),"",Master!X17)</f>
        <v>Hill (Kirk)</v>
      </c>
      <c r="X17" s="13" t="str">
        <f>IF(ISBLANK(Master!Y17),"",Master!Y17)</f>
        <v/>
      </c>
      <c r="Y17" s="13" t="str">
        <f>IF(ISBLANK(Master!Z17),"",Master!Z17)</f>
        <v>Myers</v>
      </c>
      <c r="Z17" s="13" t="str">
        <f>IF(ISBLANK(Master!AA17),"",Master!AA17)</f>
        <v>Van Der Windt</v>
      </c>
      <c r="AA17" s="13" t="str">
        <f>IF(ISBLANK(Master!AB17),"",Master!AB17)</f>
        <v/>
      </c>
    </row>
    <row r="18" spans="1:27" x14ac:dyDescent="0.25">
      <c r="A18" s="13" t="str">
        <f>IF(ISBLANK(Master!A18),"",Master!A18)</f>
        <v>Tue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>CT</v>
      </c>
      <c r="K18" s="13" t="str">
        <f>IF(ISBLANK(Master!K18),"",Master!K18)</f>
        <v>x</v>
      </c>
      <c r="L18" s="13" t="str">
        <f>IF(ISBLANK(Master!L18),"",Master!L18)</f>
        <v>CHP Jr.</v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>SHY</v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Kulkarni</v>
      </c>
      <c r="X18" s="13" t="str">
        <f>IF(ISBLANK(Master!Y18),"",Master!Y18)</f>
        <v/>
      </c>
      <c r="Y18" s="13" t="str">
        <f>IF(ISBLANK(Master!Z18),"",Master!Z18)</f>
        <v>Cyr</v>
      </c>
      <c r="Z18" s="13" t="str">
        <f>IF(ISBLANK(Master!AA18),"",Master!AA18)</f>
        <v>Siow</v>
      </c>
      <c r="AA18" s="13" t="str">
        <f>IF(ISBLANK(Master!AB18),"",Master!AB18)</f>
        <v/>
      </c>
    </row>
    <row r="19" spans="1:27" x14ac:dyDescent="0.25">
      <c r="A19" s="13" t="str">
        <f>IF(ISBLANK(Master!A19),"",Master!A19)</f>
        <v>Wed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CT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>SHY</v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Myers</v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Handzel</v>
      </c>
      <c r="AA19" s="13" t="str">
        <f>IF(ISBLANK(Master!AB19),"",Master!AB19)</f>
        <v/>
      </c>
    </row>
    <row r="20" spans="1:27" x14ac:dyDescent="0.25">
      <c r="A20" s="13" t="str">
        <f>IF(ISBLANK(Master!A20),"",Master!A20)</f>
        <v>Thu</v>
      </c>
      <c r="B20" s="13">
        <f>IF(ISBLANK(Master!B20),"",Master!B20)</f>
        <v>19</v>
      </c>
      <c r="C20" s="13" t="str">
        <f>IF(ISBLANK(Master!C20),"",Master!C20)</f>
        <v>CHP Sr.</v>
      </c>
      <c r="D20" s="13" t="str">
        <f>IF(ISBLANK(Master!D20),"",Master!D20)</f>
        <v>SHY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>CT</v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>x</v>
      </c>
      <c r="P20" s="13" t="str">
        <f>IF(ISBLANK(Master!P20),"",Master!P20)</f>
        <v/>
      </c>
      <c r="Q20" s="13" t="str">
        <f>IF(ISBLANK(Master!Q20),"",Master!Q20)</f>
        <v>x</v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>Van Der Windt</v>
      </c>
      <c r="X20" s="13" t="str">
        <f>IF(ISBLANK(Master!Y20),"",Master!Y20)</f>
        <v>Dyer</v>
      </c>
      <c r="Y20" s="13" t="str">
        <f>IF(ISBLANK(Master!Z20),"",Master!Z20)</f>
        <v/>
      </c>
      <c r="Z20" s="13" t="str">
        <f>IF(ISBLANK(Master!AA20),"",Master!AA20)</f>
        <v>Okolo</v>
      </c>
      <c r="AA20" s="13" t="str">
        <f>IF(ISBLANK(Master!AB20),"",Master!AB20)</f>
        <v/>
      </c>
    </row>
    <row r="21" spans="1:27" x14ac:dyDescent="0.25">
      <c r="A21" s="13" t="str">
        <f>IF(ISBLANK(Master!A21),"",Master!A21)</f>
        <v>Fri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>Trauma</v>
      </c>
      <c r="N21" s="13" t="str">
        <f>IF(ISBLANK(Master!N21),"",Master!N21)</f>
        <v>CT</v>
      </c>
      <c r="O21" s="13" t="str">
        <f>IF(ISBLANK(Master!O21),"",Master!O21)</f>
        <v>x</v>
      </c>
      <c r="P21" s="13" t="str">
        <f>IF(ISBLANK(Master!P21),"",Master!P21)</f>
        <v/>
      </c>
      <c r="Q21" s="13" t="str">
        <f>IF(ISBLANK(Master!Q21),"",Master!Q21)</f>
        <v>x</v>
      </c>
      <c r="R21" s="13" t="str">
        <f>IF(ISBLANK(Master!R21),"",Master!R21)</f>
        <v/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Dadashzadeh</v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Gallagher</v>
      </c>
      <c r="AA21" s="13" t="str">
        <f>IF(ISBLANK(Master!AB21),"",Master!AB21)</f>
        <v/>
      </c>
    </row>
    <row r="22" spans="1:27" x14ac:dyDescent="0.25">
      <c r="A22" s="13" t="str">
        <f>IF(ISBLANK(Master!A22),"",Master!A22)</f>
        <v>Sat</v>
      </c>
      <c r="B22" s="13">
        <f>IF(ISBLANK(Master!B22),"",Master!B22)</f>
        <v>21</v>
      </c>
      <c r="C22" s="13" t="str">
        <f>IF(ISBLANK(Master!C22),"",Master!C22)</f>
        <v>x</v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>x</v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x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>x</v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>Trauma</v>
      </c>
      <c r="Q22" s="13" t="str">
        <f>IF(ISBLANK(Master!Q22),"",Master!Q22)</f>
        <v>x</v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  <c r="AA22" s="13" t="str">
        <f>IF(ISBLANK(Master!AB22),"",Master!AB22)</f>
        <v/>
      </c>
    </row>
    <row r="23" spans="1:27" x14ac:dyDescent="0.25">
      <c r="A23" s="13" t="str">
        <f>IF(ISBLANK(Master!A23),"",Master!A23)</f>
        <v>Sun</v>
      </c>
      <c r="B23" s="13">
        <f>IF(ISBLANK(Master!B23),"",Master!B23)</f>
        <v>22</v>
      </c>
      <c r="C23" s="13" t="str">
        <f>IF(ISBLANK(Master!C23),"",Master!C23)</f>
        <v>x</v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>x</v>
      </c>
      <c r="G23" s="13" t="str">
        <f>IF(ISBLANK(Master!G23),"",Master!G23)</f>
        <v>x</v>
      </c>
      <c r="H23" s="13" t="str">
        <f>IF(ISBLANK(Master!H23),"",Master!H23)</f>
        <v>x</v>
      </c>
      <c r="I23" s="13" t="str">
        <f>IF(ISBLANK(Master!I23),"",Master!I23)</f>
        <v>x</v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SHY</v>
      </c>
      <c r="O23" s="13" t="str">
        <f>IF(ISBLANK(Master!O23),"",Master!O23)</f>
        <v>x</v>
      </c>
      <c r="P23" s="13" t="str">
        <f>IF(ISBLANK(Master!P23),"",Master!P23)</f>
        <v/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Gallagher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  <c r="AA23" s="13" t="str">
        <f>IF(ISBLANK(Master!AB23),"",Master!AB23)</f>
        <v/>
      </c>
    </row>
    <row r="24" spans="1:27" x14ac:dyDescent="0.25">
      <c r="A24" s="13" t="str">
        <f>IF(ISBLANK(Master!A24),"",Master!A24)</f>
        <v>Mon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>CT</v>
      </c>
      <c r="H24" s="13" t="str">
        <f>IF(ISBLANK(Master!H24),"",Master!H24)</f>
        <v>x</v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>SHY</v>
      </c>
      <c r="N24" s="13" t="str">
        <f>IF(ISBLANK(Master!N24),"",Master!N24)</f>
        <v>x</v>
      </c>
      <c r="O24" s="13" t="str">
        <f>IF(ISBLANK(Master!O24),"",Master!O24)</f>
        <v>x</v>
      </c>
      <c r="P24" s="13" t="str">
        <f>IF(ISBLANK(Master!P24),"",Master!P24)</f>
        <v/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>Dadashzadeh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Handzel</v>
      </c>
      <c r="AA24" s="13" t="str">
        <f>IF(ISBLANK(Master!AB24),"",Master!AB24)</f>
        <v/>
      </c>
    </row>
    <row r="25" spans="1:27" x14ac:dyDescent="0.25">
      <c r="A25" s="13" t="str">
        <f>IF(ISBLANK(Master!A25),"",Master!A25)</f>
        <v>Tue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x</v>
      </c>
      <c r="J25" s="13" t="str">
        <f>IF(ISBLANK(Master!J25),"",Master!J25)</f>
        <v>x</v>
      </c>
      <c r="K25" s="13" t="str">
        <f>IF(ISBLANK(Master!K25),"",Master!K25)</f>
        <v>CT</v>
      </c>
      <c r="L25" s="13" t="str">
        <f>IF(ISBLANK(Master!L25),"",Master!L25)</f>
        <v>Trauma</v>
      </c>
      <c r="M25" s="13" t="str">
        <f>IF(ISBLANK(Master!M25),"",Master!M25)</f>
        <v>x</v>
      </c>
      <c r="N25" s="13" t="str">
        <f>IF(ISBLANK(Master!N25),"",Master!N25)</f>
        <v>x</v>
      </c>
      <c r="O25" s="13" t="str">
        <f>IF(ISBLANK(Master!O25),"",Master!O25)</f>
        <v>SHY</v>
      </c>
      <c r="P25" s="13" t="str">
        <f>IF(ISBLANK(Master!P25),"",Master!P25)</f>
        <v/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Huckaby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Tam</v>
      </c>
      <c r="AA25" s="13" t="str">
        <f>IF(ISBLANK(Master!AB25),"",Master!AB25)</f>
        <v/>
      </c>
    </row>
    <row r="26" spans="1:27" x14ac:dyDescent="0.25">
      <c r="A26" s="13" t="str">
        <f>IF(ISBLANK(Master!A26),"",Master!A26)</f>
        <v>Wed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CT</v>
      </c>
      <c r="I26" s="13" t="str">
        <f>IF(ISBLANK(Master!I26),"",Master!I26)</f>
        <v>SHY</v>
      </c>
      <c r="J26" s="13" t="str">
        <f>IF(ISBLANK(Master!J26),"",Master!J26)</f>
        <v>x</v>
      </c>
      <c r="K26" s="13" t="str">
        <f>IF(ISBLANK(Master!K26),"",Master!K26)</f>
        <v>x</v>
      </c>
      <c r="L26" s="13" t="str">
        <f>IF(ISBLANK(Master!L26),"",Master!L26)</f>
        <v/>
      </c>
      <c r="M26" s="13" t="str">
        <f>IF(ISBLANK(Master!M27),"",Master!M27)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>Trauma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Kulkarni</v>
      </c>
      <c r="W26" s="13" t="str">
        <f>IF(ISBLANK(Master!X26),"",Master!X26)</f>
        <v>Okolo</v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Hill (Kirk)</v>
      </c>
      <c r="AA26" s="13" t="str">
        <f>IF(ISBLANK(Master!AB26),"",Master!AB26)</f>
        <v/>
      </c>
    </row>
    <row r="27" spans="1:27" x14ac:dyDescent="0.25">
      <c r="A27" s="13" t="str">
        <f>IF(ISBLANK(Master!A27),"",Master!A27)</f>
        <v>Thu</v>
      </c>
      <c r="B27" s="13">
        <f>IF(ISBLANK(Master!B27),"",Master!B27)</f>
        <v>26</v>
      </c>
      <c r="C27" s="13" t="str">
        <f>IF(ISBLANK(Master!C27),"",Master!C27)</f>
        <v>SHY</v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>x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IF(ISBLANK(Master!M28),"",Master!M28)</f>
        <v>x</v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>CT</v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>Dyer</v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Yecies</v>
      </c>
      <c r="AA27" s="13" t="str">
        <f>IF(ISBLANK(Master!AB27),"",Master!AB27)</f>
        <v/>
      </c>
    </row>
    <row r="28" spans="1:27" x14ac:dyDescent="0.25">
      <c r="A28" s="13" t="str">
        <f>IF(ISBLANK(Master!A28),"",Master!A28)</f>
        <v>Fri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>Trauma</v>
      </c>
      <c r="K28" s="13" t="str">
        <f>IF(ISBLANK(Master!K28),"",Master!K28)</f>
        <v>CT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>x</v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>Siow</v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Tam</v>
      </c>
      <c r="AA28" s="13" t="str">
        <f>IF(ISBLANK(Master!AB28),"",Master!AB28)</f>
        <v/>
      </c>
    </row>
    <row r="29" spans="1:27" x14ac:dyDescent="0.25">
      <c r="A29" s="13" t="str">
        <f>IF(ISBLANK(Master!A29),"",Master!A29)</f>
        <v>Sat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Trauma</v>
      </c>
      <c r="L29" s="13" t="str">
        <f>IF(ISBLANK(Master!L29),"",Master!L29)</f>
        <v/>
      </c>
      <c r="M29" s="13" t="str">
        <f>IF(ISBLANK(Master!M29),"",Master!M29)</f>
        <v>x</v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Tam</v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  <c r="AA29" s="13" t="str">
        <f>IF(ISBLANK(Master!AB29),"",Master!AB29)</f>
        <v/>
      </c>
    </row>
    <row r="30" spans="1:27" x14ac:dyDescent="0.25">
      <c r="A30" s="13" t="str">
        <f>IF(ISBLANK(Master!A30),"",Master!A30)</f>
        <v>Sun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SHY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>x</v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>x</v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Tam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  <c r="AA30" s="13" t="str">
        <f>IF(ISBLANK(Master!AB30),"",Master!AB30)</f>
        <v/>
      </c>
    </row>
    <row r="31" spans="1:27" x14ac:dyDescent="0.25">
      <c r="A31" s="13" t="str">
        <f>IF(ISBLANK(Master!A31),"",Master!A31)</f>
        <v>Mon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CT</v>
      </c>
      <c r="I31" s="13" t="str">
        <f>IF(ISBLANK(Master!I31),"",Master!I31)</f>
        <v/>
      </c>
      <c r="J31" s="13" t="str">
        <f>IF(ISBLANK(Master!J31),"",Master!J31)</f>
        <v>SHY</v>
      </c>
      <c r="K31" s="13" t="str">
        <f>IF(ISBLANK(Master!K31),"",Master!K31)</f>
        <v>x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>x</v>
      </c>
      <c r="O31" s="13" t="str">
        <f>IF(ISBLANK(Master!O31),"",Master!O31)</f>
        <v>x</v>
      </c>
      <c r="P31" s="13" t="str">
        <f>IF(ISBLANK(Master!P31),"",Master!P31)</f>
        <v/>
      </c>
      <c r="Q31" s="13" t="str">
        <f>IF(ISBLANK(Master!Q31),"",Master!Q31)</f>
        <v>x</v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Siow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Hill (Kirk)</v>
      </c>
      <c r="AA31" s="13" t="str">
        <f>IF(ISBLANK(Master!AB31),"",Master!AB31)</f>
        <v/>
      </c>
    </row>
    <row r="32" spans="1:27" x14ac:dyDescent="0.25">
      <c r="A32" s="13" t="str">
        <f>IF(ISBLANK(Master!A32),"",Master!A32)</f>
        <v>Tue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>Trauma</v>
      </c>
      <c r="E32" s="13" t="str">
        <f>IF(ISBLANK(Master!E32),"",Master!E32)</f>
        <v/>
      </c>
      <c r="F32" s="13" t="str">
        <f>IF(ISBLANK(Master!F32),"",Master!F32)</f>
        <v>x</v>
      </c>
      <c r="G32" s="13" t="str">
        <f>IF(ISBLANK(Master!G32),"",Master!G32)</f>
        <v>SHY</v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CT</v>
      </c>
      <c r="K32" s="13" t="str">
        <f>IF(ISBLANK(Master!K32),"",Master!K32)</f>
        <v>x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>x</v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Van Der Windt</v>
      </c>
      <c r="W32" s="13" t="str">
        <f>IF(ISBLANK(Master!X32),"",Master!X32)</f>
        <v>Handzel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Siow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5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3-5</v>
      </c>
      <c r="L34" s="13" t="str">
        <f>IF(ISBLANK(Master!L34),"",Master!L34)</f>
        <v>3</v>
      </c>
      <c r="M34" s="13" t="str">
        <f>IF(ISBLANK(Master!M34),"",Master!M34)</f>
        <v>5</v>
      </c>
      <c r="N34" s="13" t="str">
        <f>IF(ISBLANK(Master!N34),"",Master!N34)</f>
        <v>5-6</v>
      </c>
      <c r="O34" s="13" t="str">
        <f>IF(ISBLANK(Master!O34),"",Master!O34)</f>
        <v>2-3</v>
      </c>
      <c r="P34" s="13" t="str">
        <f>IF(ISBLANK(Master!P34),"",Master!P34)</f>
        <v>5</v>
      </c>
      <c r="Q34" s="13" t="str">
        <f>IF(ISBLANK(Master!Q34),"",Master!Q34)</f>
        <v>5</v>
      </c>
      <c r="R34" s="13" t="str">
        <f>IF(ISBLANK(Master!R34),"",Master!R34)</f>
        <v>4</v>
      </c>
      <c r="S34" s="13" t="str">
        <f>IF(ISBLANK(Master!S34),"",Master!S34)</f>
        <v>2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4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3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3</v>
      </c>
      <c r="P35" s="13">
        <f>IF(ISBLANK(Master!P35),"",Master!P35)</f>
        <v>5</v>
      </c>
      <c r="Q35" s="13">
        <f>IF(ISBLANK(Master!Q35),"",Master!Q35)</f>
        <v>5</v>
      </c>
      <c r="R35" s="13">
        <f>IF(ISBLANK(Master!R35),"",Master!R35)</f>
        <v>4</v>
      </c>
      <c r="S35" s="13">
        <f>IF(ISBLANK(Master!S35),"",Master!S35)</f>
        <v>2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3" sqref="J13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9" width="7.85546875" style="3" customWidth="1"/>
    <col min="10" max="10" width="7.85546875" style="5" customWidth="1"/>
    <col min="11" max="20" width="7.85546875" style="3" customWidth="1"/>
    <col min="21" max="21" width="6.28515625" style="3" customWidth="1"/>
    <col min="22" max="22" width="8.5703125" style="3" customWidth="1"/>
    <col min="23" max="27" width="16.85546875" style="10" bestFit="1" customWidth="1"/>
    <col min="28" max="28" width="16.85546875" style="10" hidden="1" customWidth="1"/>
    <col min="29" max="29" width="22.5703125" style="10" customWidth="1"/>
    <col min="30" max="34" width="7.85546875" style="3" customWidth="1"/>
    <col min="35" max="35" width="7.7109375" style="1" hidden="1" customWidth="1"/>
    <col min="36" max="36" width="26.85546875" style="3" customWidth="1"/>
    <col min="37" max="37" width="29.7109375" style="3" customWidth="1"/>
    <col min="38" max="38" width="19.42578125" style="3" customWidth="1"/>
    <col min="39" max="16384" width="8.85546875" style="3"/>
  </cols>
  <sheetData>
    <row r="1" spans="1:38" x14ac:dyDescent="0.25">
      <c r="A1" s="2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2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6" t="s">
        <v>42</v>
      </c>
      <c r="W1" s="4" t="s">
        <v>2</v>
      </c>
      <c r="X1" s="27" t="s">
        <v>23</v>
      </c>
      <c r="Y1" s="27" t="s">
        <v>22</v>
      </c>
      <c r="Z1" s="27" t="s">
        <v>21</v>
      </c>
      <c r="AA1" s="27" t="s">
        <v>3</v>
      </c>
      <c r="AB1" s="4" t="s">
        <v>50</v>
      </c>
      <c r="AC1" s="4"/>
      <c r="AD1" s="4" t="s">
        <v>2</v>
      </c>
      <c r="AE1" s="27" t="s">
        <v>23</v>
      </c>
      <c r="AF1" s="27" t="s">
        <v>22</v>
      </c>
      <c r="AG1" s="27" t="s">
        <v>21</v>
      </c>
      <c r="AH1" s="27" t="s">
        <v>3</v>
      </c>
      <c r="AI1" s="1" t="s">
        <v>50</v>
      </c>
    </row>
    <row r="2" spans="1:38" x14ac:dyDescent="0.25">
      <c r="A2" s="1" t="s">
        <v>7</v>
      </c>
      <c r="B2" s="9">
        <v>1</v>
      </c>
      <c r="C2" s="1" t="s">
        <v>39</v>
      </c>
      <c r="D2" s="1"/>
      <c r="E2" s="1"/>
      <c r="F2" s="1"/>
      <c r="G2" s="1" t="s">
        <v>2</v>
      </c>
      <c r="H2" s="1" t="s">
        <v>39</v>
      </c>
      <c r="I2" s="1">
        <v>1</v>
      </c>
      <c r="J2" s="2" t="s">
        <v>39</v>
      </c>
      <c r="K2" s="1" t="s">
        <v>39</v>
      </c>
      <c r="L2" s="1" t="s">
        <v>39</v>
      </c>
      <c r="M2" s="1"/>
      <c r="N2" s="1" t="s">
        <v>23</v>
      </c>
      <c r="O2" s="1" t="s">
        <v>21</v>
      </c>
      <c r="P2" s="1" t="s">
        <v>39</v>
      </c>
      <c r="Q2" s="1" t="s">
        <v>39</v>
      </c>
      <c r="R2" s="1"/>
      <c r="S2" s="1"/>
      <c r="T2" s="1" t="s">
        <v>39</v>
      </c>
      <c r="V2" s="3" t="s">
        <v>63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Handzel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Huckaby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 t="s">
        <v>39</v>
      </c>
      <c r="AE2" s="1" t="s">
        <v>39</v>
      </c>
      <c r="AF2" s="1"/>
      <c r="AG2" s="1" t="s">
        <v>39</v>
      </c>
      <c r="AH2" s="1" t="s">
        <v>39</v>
      </c>
      <c r="AJ2" s="15"/>
      <c r="AK2" s="16"/>
      <c r="AL2" s="17"/>
    </row>
    <row r="3" spans="1:38" x14ac:dyDescent="0.25">
      <c r="A3" s="1" t="s">
        <v>8</v>
      </c>
      <c r="B3" s="9">
        <v>2</v>
      </c>
      <c r="C3" s="1"/>
      <c r="D3" s="1" t="s">
        <v>3</v>
      </c>
      <c r="E3" s="1"/>
      <c r="F3" s="1"/>
      <c r="G3" s="1" t="s">
        <v>39</v>
      </c>
      <c r="H3" s="1" t="s">
        <v>23</v>
      </c>
      <c r="I3" s="1" t="s">
        <v>2</v>
      </c>
      <c r="J3" s="2" t="s">
        <v>39</v>
      </c>
      <c r="K3" s="1" t="s">
        <v>39</v>
      </c>
      <c r="L3" s="1" t="s">
        <v>39</v>
      </c>
      <c r="M3" s="1"/>
      <c r="N3" s="1" t="s">
        <v>39</v>
      </c>
      <c r="O3" s="1" t="s">
        <v>39</v>
      </c>
      <c r="P3" s="1"/>
      <c r="Q3" s="1"/>
      <c r="R3" s="1" t="s">
        <v>21</v>
      </c>
      <c r="S3" s="1"/>
      <c r="T3" s="1" t="s">
        <v>39</v>
      </c>
      <c r="V3" s="3" t="s">
        <v>64</v>
      </c>
      <c r="W3" s="1" t="str">
        <f t="shared" si="0"/>
        <v>Okolo</v>
      </c>
      <c r="X3" s="1" t="str">
        <f t="shared" si="1"/>
        <v>Hill (Kirk)</v>
      </c>
      <c r="Y3" s="1" t="str">
        <f t="shared" si="2"/>
        <v/>
      </c>
      <c r="Z3" s="1" t="str">
        <f t="shared" si="3"/>
        <v>Nicholson</v>
      </c>
      <c r="AA3" s="1" t="str">
        <f t="shared" si="4"/>
        <v>Van Der Windt</v>
      </c>
      <c r="AB3" s="1" t="str">
        <f t="shared" si="4"/>
        <v/>
      </c>
      <c r="AC3" s="3"/>
      <c r="AD3" s="1" t="s">
        <v>39</v>
      </c>
      <c r="AE3" s="1" t="s">
        <v>39</v>
      </c>
      <c r="AF3" s="1"/>
      <c r="AG3" s="1" t="s">
        <v>39</v>
      </c>
      <c r="AH3" s="1" t="s">
        <v>39</v>
      </c>
      <c r="AJ3" s="15"/>
      <c r="AK3" s="18"/>
      <c r="AL3" s="17"/>
    </row>
    <row r="4" spans="1:38" x14ac:dyDescent="0.25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2" t="s">
        <v>39</v>
      </c>
      <c r="K4" s="1" t="s">
        <v>39</v>
      </c>
      <c r="L4" s="1" t="s">
        <v>39</v>
      </c>
      <c r="M4" s="1"/>
      <c r="N4" s="1" t="s">
        <v>39</v>
      </c>
      <c r="O4" s="1"/>
      <c r="P4" s="1"/>
      <c r="Q4" s="1" t="s">
        <v>3</v>
      </c>
      <c r="R4" s="1"/>
      <c r="S4" s="1"/>
      <c r="T4" s="1" t="s">
        <v>39</v>
      </c>
      <c r="V4" s="3" t="s">
        <v>65</v>
      </c>
      <c r="W4" s="1" t="str">
        <f t="shared" si="0"/>
        <v>Dyer</v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Myers</v>
      </c>
      <c r="AB4" s="1" t="str">
        <f t="shared" si="4"/>
        <v/>
      </c>
      <c r="AC4" s="3"/>
      <c r="AD4" s="1" t="s">
        <v>39</v>
      </c>
      <c r="AE4" s="1" t="s">
        <v>39</v>
      </c>
      <c r="AF4" s="1"/>
      <c r="AG4" s="1"/>
      <c r="AH4" s="1" t="s">
        <v>39</v>
      </c>
      <c r="AJ4" s="15"/>
      <c r="AK4" s="19"/>
      <c r="AL4" s="17"/>
    </row>
    <row r="5" spans="1:38" x14ac:dyDescent="0.25">
      <c r="A5" s="1" t="s">
        <v>4</v>
      </c>
      <c r="B5" s="9">
        <v>4</v>
      </c>
      <c r="C5" s="1"/>
      <c r="D5" s="1" t="s">
        <v>39</v>
      </c>
      <c r="E5" s="1"/>
      <c r="F5" s="1"/>
      <c r="G5" s="1" t="s">
        <v>39</v>
      </c>
      <c r="H5" s="1"/>
      <c r="I5" s="1" t="s">
        <v>39</v>
      </c>
      <c r="J5" s="2" t="s">
        <v>39</v>
      </c>
      <c r="K5" s="1" t="s">
        <v>39</v>
      </c>
      <c r="L5" s="1" t="s">
        <v>39</v>
      </c>
      <c r="M5" s="1"/>
      <c r="N5" s="1" t="s">
        <v>3</v>
      </c>
      <c r="O5" s="1"/>
      <c r="P5" s="1" t="s">
        <v>23</v>
      </c>
      <c r="Q5" s="1" t="s">
        <v>39</v>
      </c>
      <c r="R5" s="1"/>
      <c r="S5" s="1"/>
      <c r="T5" s="1" t="s">
        <v>39</v>
      </c>
      <c r="W5" s="1" t="str">
        <f t="shared" si="0"/>
        <v/>
      </c>
      <c r="X5" s="1" t="str">
        <f t="shared" si="1"/>
        <v>Kulkarni</v>
      </c>
      <c r="Y5" s="1" t="str">
        <f t="shared" si="2"/>
        <v/>
      </c>
      <c r="Z5" s="1" t="str">
        <f t="shared" si="3"/>
        <v/>
      </c>
      <c r="AA5" s="1" t="str">
        <f t="shared" si="4"/>
        <v>Gallagher</v>
      </c>
      <c r="AB5" s="1" t="str">
        <f t="shared" si="4"/>
        <v/>
      </c>
      <c r="AC5" s="3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25">
      <c r="A6" s="1" t="s">
        <v>10</v>
      </c>
      <c r="B6" s="9">
        <v>5</v>
      </c>
      <c r="C6" s="1"/>
      <c r="D6" s="1"/>
      <c r="E6" s="1"/>
      <c r="F6" s="1"/>
      <c r="G6" s="1" t="s">
        <v>39</v>
      </c>
      <c r="H6" s="1"/>
      <c r="I6" s="1"/>
      <c r="J6" s="2" t="s">
        <v>39</v>
      </c>
      <c r="K6" s="1" t="s">
        <v>39</v>
      </c>
      <c r="L6" s="1" t="s">
        <v>39</v>
      </c>
      <c r="M6" s="1"/>
      <c r="N6" s="1" t="s">
        <v>39</v>
      </c>
      <c r="O6" s="1"/>
      <c r="P6" s="1"/>
      <c r="Q6" s="1" t="s">
        <v>39</v>
      </c>
      <c r="R6" s="1" t="s">
        <v>23</v>
      </c>
      <c r="S6" s="1" t="s">
        <v>3</v>
      </c>
      <c r="T6" s="1" t="s">
        <v>39</v>
      </c>
      <c r="W6" s="1" t="str">
        <f t="shared" si="0"/>
        <v/>
      </c>
      <c r="X6" s="1" t="str">
        <f t="shared" si="1"/>
        <v>Nicholson</v>
      </c>
      <c r="Y6" s="1" t="str">
        <f t="shared" si="2"/>
        <v/>
      </c>
      <c r="Z6" s="1" t="str">
        <f t="shared" si="3"/>
        <v/>
      </c>
      <c r="AA6" s="1" t="str">
        <f t="shared" si="4"/>
        <v>Yecies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5"/>
      <c r="AK6" s="16"/>
      <c r="AL6" s="17"/>
    </row>
    <row r="7" spans="1:38" x14ac:dyDescent="0.25">
      <c r="A7" s="1" t="s">
        <v>5</v>
      </c>
      <c r="B7" s="9">
        <v>6</v>
      </c>
      <c r="C7" s="1"/>
      <c r="D7" s="1"/>
      <c r="E7" s="1" t="s">
        <v>39</v>
      </c>
      <c r="F7" s="1" t="s">
        <v>2</v>
      </c>
      <c r="G7" s="1" t="s">
        <v>39</v>
      </c>
      <c r="H7" s="1" t="s">
        <v>39</v>
      </c>
      <c r="I7" s="1" t="s">
        <v>39</v>
      </c>
      <c r="J7" s="2" t="s">
        <v>39</v>
      </c>
      <c r="K7" s="1" t="s">
        <v>39</v>
      </c>
      <c r="L7" s="1" t="s">
        <v>39</v>
      </c>
      <c r="M7" s="1" t="s">
        <v>39</v>
      </c>
      <c r="N7" s="1"/>
      <c r="O7" s="1"/>
      <c r="P7" s="1"/>
      <c r="Q7" s="1" t="s">
        <v>39</v>
      </c>
      <c r="R7" s="1" t="s">
        <v>39</v>
      </c>
      <c r="S7" s="1"/>
      <c r="T7" s="1" t="s">
        <v>39</v>
      </c>
      <c r="V7" s="3" t="s">
        <v>67</v>
      </c>
      <c r="W7" s="1" t="str">
        <f t="shared" si="0"/>
        <v>Griepentrog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 t="s">
        <v>39</v>
      </c>
      <c r="AE7" s="1"/>
      <c r="AF7" s="1"/>
      <c r="AG7" s="1"/>
      <c r="AH7" s="1" t="s">
        <v>39</v>
      </c>
      <c r="AJ7" s="15"/>
      <c r="AK7" s="18"/>
      <c r="AL7" s="17"/>
    </row>
    <row r="8" spans="1:38" x14ac:dyDescent="0.25">
      <c r="A8" s="1" t="s">
        <v>6</v>
      </c>
      <c r="B8" s="9">
        <v>7</v>
      </c>
      <c r="C8" s="1"/>
      <c r="D8" s="1"/>
      <c r="E8" s="1" t="s">
        <v>39</v>
      </c>
      <c r="F8" s="1"/>
      <c r="G8" s="1" t="s">
        <v>39</v>
      </c>
      <c r="H8" s="1" t="s">
        <v>2</v>
      </c>
      <c r="I8" s="1" t="s">
        <v>39</v>
      </c>
      <c r="J8" s="2" t="s">
        <v>39</v>
      </c>
      <c r="K8" s="1" t="s">
        <v>39</v>
      </c>
      <c r="L8" s="1" t="s">
        <v>39</v>
      </c>
      <c r="M8" s="1"/>
      <c r="N8" s="1"/>
      <c r="O8" s="1"/>
      <c r="P8" s="1"/>
      <c r="Q8" s="1" t="s">
        <v>39</v>
      </c>
      <c r="R8" s="1" t="s">
        <v>39</v>
      </c>
      <c r="S8" s="1"/>
      <c r="T8" s="1" t="s">
        <v>39</v>
      </c>
      <c r="V8" s="3" t="s">
        <v>65</v>
      </c>
      <c r="W8" s="1" t="str">
        <f t="shared" si="0"/>
        <v>Hill (Kirk)</v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 t="s">
        <v>39</v>
      </c>
      <c r="AE8" s="1"/>
      <c r="AF8" s="1"/>
      <c r="AG8" s="1"/>
      <c r="AH8" s="1" t="s">
        <v>39</v>
      </c>
      <c r="AJ8" s="15"/>
      <c r="AK8" s="19"/>
      <c r="AL8" s="17"/>
    </row>
    <row r="9" spans="1:38" x14ac:dyDescent="0.25">
      <c r="A9" s="1" t="s">
        <v>7</v>
      </c>
      <c r="B9" s="9">
        <v>8</v>
      </c>
      <c r="C9" s="1"/>
      <c r="D9" s="1"/>
      <c r="E9" s="1" t="s">
        <v>39</v>
      </c>
      <c r="F9" s="1" t="s">
        <v>39</v>
      </c>
      <c r="G9" s="1" t="s">
        <v>39</v>
      </c>
      <c r="H9" s="1" t="s">
        <v>39</v>
      </c>
      <c r="I9" s="1" t="s">
        <v>39</v>
      </c>
      <c r="J9" s="2"/>
      <c r="K9" s="1" t="s">
        <v>39</v>
      </c>
      <c r="L9" s="1" t="s">
        <v>39</v>
      </c>
      <c r="M9" s="1" t="s">
        <v>23</v>
      </c>
      <c r="N9" s="1"/>
      <c r="O9" s="1"/>
      <c r="P9" s="1"/>
      <c r="Q9" s="1" t="s">
        <v>39</v>
      </c>
      <c r="R9" s="1" t="s">
        <v>39</v>
      </c>
      <c r="S9" s="1"/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5"/>
      <c r="AK9" s="19"/>
      <c r="AL9" s="17"/>
    </row>
    <row r="10" spans="1:38" x14ac:dyDescent="0.25">
      <c r="A10" s="1" t="s">
        <v>8</v>
      </c>
      <c r="B10" s="9">
        <v>9</v>
      </c>
      <c r="C10" s="1" t="s">
        <v>3</v>
      </c>
      <c r="D10" s="1"/>
      <c r="E10" s="1" t="s">
        <v>39</v>
      </c>
      <c r="F10" s="1" t="s">
        <v>23</v>
      </c>
      <c r="G10" s="1" t="s">
        <v>39</v>
      </c>
      <c r="H10" s="1"/>
      <c r="I10" s="1"/>
      <c r="J10" s="2"/>
      <c r="K10" s="1" t="s">
        <v>39</v>
      </c>
      <c r="L10" s="1" t="s">
        <v>39</v>
      </c>
      <c r="M10" s="1"/>
      <c r="N10" s="1" t="s">
        <v>21</v>
      </c>
      <c r="O10" s="1" t="s">
        <v>39</v>
      </c>
      <c r="P10" s="1"/>
      <c r="Q10" s="1" t="s">
        <v>2</v>
      </c>
      <c r="R10" s="1"/>
      <c r="S10" s="1" t="s">
        <v>39</v>
      </c>
      <c r="T10" s="1" t="s">
        <v>39</v>
      </c>
      <c r="V10" s="3" t="s">
        <v>66</v>
      </c>
      <c r="W10" s="1" t="str">
        <f t="shared" si="0"/>
        <v>Myers</v>
      </c>
      <c r="X10" s="1" t="str">
        <f t="shared" si="1"/>
        <v>Griepentrog</v>
      </c>
      <c r="Y10" s="1" t="str">
        <f t="shared" si="2"/>
        <v/>
      </c>
      <c r="Z10" s="1" t="str">
        <f t="shared" si="3"/>
        <v>Gallagher</v>
      </c>
      <c r="AA10" s="1" t="str">
        <f t="shared" si="4"/>
        <v>Dyer</v>
      </c>
      <c r="AB10" s="1" t="str">
        <f t="shared" si="4"/>
        <v/>
      </c>
      <c r="AC10" s="3"/>
      <c r="AD10" s="1" t="s">
        <v>39</v>
      </c>
      <c r="AE10" s="1" t="s">
        <v>39</v>
      </c>
      <c r="AF10" s="1"/>
      <c r="AG10" s="1" t="s">
        <v>39</v>
      </c>
      <c r="AH10" s="1" t="s">
        <v>39</v>
      </c>
      <c r="AJ10" s="15"/>
      <c r="AK10" s="19"/>
      <c r="AL10" s="17"/>
    </row>
    <row r="11" spans="1:38" x14ac:dyDescent="0.25">
      <c r="A11" s="1" t="s">
        <v>9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 t="s">
        <v>3</v>
      </c>
      <c r="J11" s="2"/>
      <c r="K11" s="1" t="s">
        <v>39</v>
      </c>
      <c r="L11" s="1" t="s">
        <v>39</v>
      </c>
      <c r="M11" s="1" t="s">
        <v>39</v>
      </c>
      <c r="N11" s="1" t="s">
        <v>39</v>
      </c>
      <c r="O11" s="1"/>
      <c r="P11" s="1" t="s">
        <v>21</v>
      </c>
      <c r="Q11" s="1"/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Yeh</v>
      </c>
      <c r="Y11" s="1" t="str">
        <f t="shared" si="2"/>
        <v/>
      </c>
      <c r="Z11" s="1" t="str">
        <f t="shared" si="3"/>
        <v>Kulkarni</v>
      </c>
      <c r="AA11" s="1" t="str">
        <f t="shared" si="4"/>
        <v>Okolo</v>
      </c>
      <c r="AB11" s="1" t="str">
        <f t="shared" si="4"/>
        <v/>
      </c>
      <c r="AC11" s="3"/>
      <c r="AD11" s="1"/>
      <c r="AE11" s="1" t="s">
        <v>39</v>
      </c>
      <c r="AF11" s="1"/>
      <c r="AG11" s="1" t="s">
        <v>39</v>
      </c>
      <c r="AH11" s="1" t="s">
        <v>39</v>
      </c>
      <c r="AJ11" s="15"/>
      <c r="AK11" s="18"/>
      <c r="AL11" s="17"/>
    </row>
    <row r="12" spans="1:38" x14ac:dyDescent="0.25">
      <c r="A12" s="1" t="s">
        <v>4</v>
      </c>
      <c r="B12" s="9">
        <v>11</v>
      </c>
      <c r="C12" s="1"/>
      <c r="D12" s="1"/>
      <c r="E12" s="1"/>
      <c r="F12" s="1"/>
      <c r="G12" s="1" t="s">
        <v>39</v>
      </c>
      <c r="H12" s="1"/>
      <c r="I12" s="1"/>
      <c r="J12" s="2"/>
      <c r="K12" s="1" t="s">
        <v>39</v>
      </c>
      <c r="L12" s="1" t="s">
        <v>23</v>
      </c>
      <c r="M12" s="1"/>
      <c r="N12" s="1" t="s">
        <v>39</v>
      </c>
      <c r="O12" s="1" t="s">
        <v>2</v>
      </c>
      <c r="P12" s="1"/>
      <c r="Q12" s="1"/>
      <c r="R12" s="1" t="s">
        <v>3</v>
      </c>
      <c r="S12" s="1" t="s">
        <v>39</v>
      </c>
      <c r="T12" s="1" t="s">
        <v>39</v>
      </c>
      <c r="V12" s="3" t="s">
        <v>68</v>
      </c>
      <c r="W12" s="1" t="str">
        <f t="shared" si="0"/>
        <v>Huckaby</v>
      </c>
      <c r="X12" s="1" t="str">
        <f t="shared" si="1"/>
        <v>Cyr</v>
      </c>
      <c r="Y12" s="1" t="str">
        <f t="shared" si="2"/>
        <v/>
      </c>
      <c r="Z12" s="1" t="str">
        <f t="shared" si="3"/>
        <v/>
      </c>
      <c r="AA12" s="1" t="str">
        <f t="shared" si="4"/>
        <v>Nicholson</v>
      </c>
      <c r="AB12" s="1" t="str">
        <f t="shared" si="4"/>
        <v/>
      </c>
      <c r="AC12" s="3"/>
      <c r="AD12" s="1" t="s">
        <v>39</v>
      </c>
      <c r="AE12" s="1" t="s">
        <v>39</v>
      </c>
      <c r="AF12" s="1"/>
      <c r="AG12" s="1"/>
      <c r="AH12" s="1" t="s">
        <v>39</v>
      </c>
      <c r="AJ12" s="15"/>
      <c r="AK12" s="19"/>
      <c r="AL12" s="17"/>
    </row>
    <row r="13" spans="1:38" s="5" customFormat="1" x14ac:dyDescent="0.25">
      <c r="A13" s="2" t="s">
        <v>10</v>
      </c>
      <c r="B13" s="21">
        <v>12</v>
      </c>
      <c r="C13" s="2"/>
      <c r="D13" s="2"/>
      <c r="E13" s="2"/>
      <c r="F13" s="2"/>
      <c r="G13" s="2" t="s">
        <v>39</v>
      </c>
      <c r="H13" s="2"/>
      <c r="I13" s="2"/>
      <c r="J13" s="2" t="s">
        <v>3</v>
      </c>
      <c r="K13" s="2" t="s">
        <v>23</v>
      </c>
      <c r="L13" s="2"/>
      <c r="M13" s="2"/>
      <c r="N13" s="2" t="s">
        <v>39</v>
      </c>
      <c r="O13" s="2"/>
      <c r="P13" s="2"/>
      <c r="Q13" s="2" t="s">
        <v>2</v>
      </c>
      <c r="R13" s="2"/>
      <c r="S13" s="2" t="s">
        <v>39</v>
      </c>
      <c r="T13" s="2" t="s">
        <v>39</v>
      </c>
      <c r="V13" s="5" t="s">
        <v>69</v>
      </c>
      <c r="W13" s="2" t="str">
        <f t="shared" si="0"/>
        <v>Myers</v>
      </c>
      <c r="X13" s="2" t="str">
        <f t="shared" si="1"/>
        <v>Tam</v>
      </c>
      <c r="Y13" s="2" t="str">
        <f t="shared" si="2"/>
        <v/>
      </c>
      <c r="Z13" s="2" t="str">
        <f t="shared" si="3"/>
        <v/>
      </c>
      <c r="AA13" s="2" t="str">
        <f t="shared" si="4"/>
        <v>Siow</v>
      </c>
      <c r="AB13" s="2" t="str">
        <f t="shared" si="4"/>
        <v/>
      </c>
      <c r="AD13" s="2" t="s">
        <v>39</v>
      </c>
      <c r="AE13" s="2" t="s">
        <v>39</v>
      </c>
      <c r="AF13" s="2"/>
      <c r="AG13" s="2"/>
      <c r="AH13" s="2" t="s">
        <v>39</v>
      </c>
      <c r="AI13" s="2"/>
      <c r="AJ13" s="32"/>
      <c r="AK13" s="31"/>
      <c r="AL13" s="30"/>
    </row>
    <row r="14" spans="1:38" x14ac:dyDescent="0.25">
      <c r="A14" s="1" t="s">
        <v>5</v>
      </c>
      <c r="B14" s="9">
        <v>13</v>
      </c>
      <c r="C14" s="1" t="s">
        <v>2</v>
      </c>
      <c r="D14" s="1"/>
      <c r="E14" s="1" t="s">
        <v>39</v>
      </c>
      <c r="F14" s="1"/>
      <c r="G14" s="1"/>
      <c r="H14" s="1"/>
      <c r="I14" s="1"/>
      <c r="J14" s="2"/>
      <c r="K14" s="1" t="s">
        <v>39</v>
      </c>
      <c r="L14" s="1" t="s">
        <v>39</v>
      </c>
      <c r="M14" s="1" t="s">
        <v>21</v>
      </c>
      <c r="N14" s="1"/>
      <c r="O14" s="1" t="s">
        <v>39</v>
      </c>
      <c r="P14" s="1" t="s">
        <v>39</v>
      </c>
      <c r="Q14" s="1" t="s">
        <v>39</v>
      </c>
      <c r="R14" s="1"/>
      <c r="S14" s="1" t="s">
        <v>39</v>
      </c>
      <c r="T14" s="1" t="s">
        <v>39</v>
      </c>
      <c r="V14" s="3" t="s">
        <v>64</v>
      </c>
      <c r="W14" s="1" t="str">
        <f t="shared" si="0"/>
        <v>Dyer</v>
      </c>
      <c r="X14" s="1" t="str">
        <f t="shared" si="1"/>
        <v/>
      </c>
      <c r="Y14" s="1" t="str">
        <f t="shared" si="2"/>
        <v/>
      </c>
      <c r="Z14" s="1" t="str">
        <f t="shared" si="3"/>
        <v>Dadashzadeh</v>
      </c>
      <c r="AA14" s="1" t="str">
        <f t="shared" si="4"/>
        <v>NEEDS COVERAGE</v>
      </c>
      <c r="AB14" s="1" t="str">
        <f t="shared" si="4"/>
        <v/>
      </c>
      <c r="AC14" s="3"/>
      <c r="AD14" s="1" t="s">
        <v>39</v>
      </c>
      <c r="AE14" s="1"/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25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/>
      <c r="I15" s="1"/>
      <c r="J15" s="2" t="s">
        <v>39</v>
      </c>
      <c r="K15" s="1" t="s">
        <v>39</v>
      </c>
      <c r="L15" s="1" t="s">
        <v>39</v>
      </c>
      <c r="M15" s="1"/>
      <c r="N15" s="1" t="s">
        <v>2</v>
      </c>
      <c r="O15" s="1" t="s">
        <v>39</v>
      </c>
      <c r="P15" s="1" t="s">
        <v>39</v>
      </c>
      <c r="Q15" s="1" t="s">
        <v>39</v>
      </c>
      <c r="R15" s="1" t="s">
        <v>39</v>
      </c>
      <c r="S15" s="1" t="s">
        <v>39</v>
      </c>
      <c r="T15" s="1" t="s">
        <v>39</v>
      </c>
      <c r="V15" s="3" t="s">
        <v>68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 t="s">
        <v>39</v>
      </c>
      <c r="AE15" s="1"/>
      <c r="AF15" s="1"/>
      <c r="AG15" s="1"/>
      <c r="AH15" s="1" t="s">
        <v>39</v>
      </c>
      <c r="AJ15" s="15"/>
      <c r="AK15" s="19"/>
      <c r="AL15" s="17"/>
    </row>
    <row r="16" spans="1:38" x14ac:dyDescent="0.25">
      <c r="A16" s="1" t="s">
        <v>7</v>
      </c>
      <c r="B16" s="9">
        <v>15</v>
      </c>
      <c r="C16" s="1"/>
      <c r="D16" s="1"/>
      <c r="E16" s="1" t="s">
        <v>39</v>
      </c>
      <c r="F16" s="1"/>
      <c r="G16" s="1" t="s">
        <v>23</v>
      </c>
      <c r="H16" s="1" t="s">
        <v>39</v>
      </c>
      <c r="I16" s="1" t="s">
        <v>22</v>
      </c>
      <c r="J16" s="2"/>
      <c r="K16" s="1" t="s">
        <v>39</v>
      </c>
      <c r="L16" s="1"/>
      <c r="M16" s="1"/>
      <c r="N16" s="1"/>
      <c r="O16" s="1" t="s">
        <v>39</v>
      </c>
      <c r="P16" s="1" t="s">
        <v>39</v>
      </c>
      <c r="Q16" s="1" t="s">
        <v>39</v>
      </c>
      <c r="R16" s="1" t="s">
        <v>3</v>
      </c>
      <c r="S16" s="1" t="s">
        <v>39</v>
      </c>
      <c r="T16" s="1" t="s">
        <v>39</v>
      </c>
      <c r="W16" s="1" t="str">
        <f t="shared" si="0"/>
        <v/>
      </c>
      <c r="X16" s="1" t="str">
        <f t="shared" si="1"/>
        <v>Handzel</v>
      </c>
      <c r="Y16" s="1" t="str">
        <f t="shared" si="2"/>
        <v>Okolo</v>
      </c>
      <c r="Z16" s="1" t="str">
        <f t="shared" si="3"/>
        <v/>
      </c>
      <c r="AA16" s="1" t="str">
        <f t="shared" si="4"/>
        <v>Nicholson</v>
      </c>
      <c r="AB16" s="1" t="str">
        <f t="shared" si="4"/>
        <v/>
      </c>
      <c r="AC16" s="28"/>
      <c r="AD16" s="1"/>
      <c r="AE16" s="1" t="s">
        <v>39</v>
      </c>
      <c r="AF16" s="1" t="s">
        <v>39</v>
      </c>
      <c r="AG16" s="1"/>
      <c r="AH16" s="1" t="s">
        <v>39</v>
      </c>
      <c r="AJ16" s="15"/>
      <c r="AK16" s="18"/>
      <c r="AL16" s="17"/>
    </row>
    <row r="17" spans="1:38" x14ac:dyDescent="0.25">
      <c r="A17" s="1" t="s">
        <v>8</v>
      </c>
      <c r="B17" s="9">
        <v>16</v>
      </c>
      <c r="C17" s="1"/>
      <c r="D17" s="1" t="s">
        <v>3</v>
      </c>
      <c r="E17" s="1" t="s">
        <v>2</v>
      </c>
      <c r="F17" s="1" t="s">
        <v>39</v>
      </c>
      <c r="G17" s="1" t="s">
        <v>39</v>
      </c>
      <c r="H17" s="1" t="s">
        <v>23</v>
      </c>
      <c r="I17" s="1"/>
      <c r="J17" s="2"/>
      <c r="K17" s="1" t="s">
        <v>39</v>
      </c>
      <c r="L17" s="1"/>
      <c r="M17" s="1"/>
      <c r="N17" s="1" t="s">
        <v>39</v>
      </c>
      <c r="O17" s="1" t="s">
        <v>39</v>
      </c>
      <c r="P17" s="1"/>
      <c r="Q17" s="1" t="s">
        <v>21</v>
      </c>
      <c r="R17" s="1"/>
      <c r="S17" s="1" t="s">
        <v>39</v>
      </c>
      <c r="T17" s="1" t="s">
        <v>39</v>
      </c>
      <c r="V17" s="3" t="s">
        <v>67</v>
      </c>
      <c r="W17" s="1" t="str">
        <f t="shared" si="0"/>
        <v>Yeh</v>
      </c>
      <c r="X17" s="1" t="str">
        <f t="shared" si="1"/>
        <v>Hill (Kirk)</v>
      </c>
      <c r="Y17" s="1" t="str">
        <f t="shared" si="2"/>
        <v/>
      </c>
      <c r="Z17" s="1" t="str">
        <f t="shared" si="3"/>
        <v>Myers</v>
      </c>
      <c r="AA17" s="1" t="str">
        <f t="shared" si="4"/>
        <v>Van Der Windt</v>
      </c>
      <c r="AB17" s="1" t="str">
        <f t="shared" si="4"/>
        <v/>
      </c>
      <c r="AC17" s="3"/>
      <c r="AD17" s="1" t="s">
        <v>39</v>
      </c>
      <c r="AE17" s="1" t="s">
        <v>39</v>
      </c>
      <c r="AF17" s="1"/>
      <c r="AG17" s="1" t="s">
        <v>39</v>
      </c>
      <c r="AH17" s="1" t="s">
        <v>39</v>
      </c>
      <c r="AJ17" s="15"/>
      <c r="AK17" s="16"/>
      <c r="AL17" s="17"/>
    </row>
    <row r="18" spans="1:38" x14ac:dyDescent="0.25">
      <c r="A18" s="1" t="s">
        <v>9</v>
      </c>
      <c r="B18" s="9">
        <v>17</v>
      </c>
      <c r="C18" s="1"/>
      <c r="D18" s="1"/>
      <c r="E18" s="1"/>
      <c r="F18" s="1"/>
      <c r="G18" s="1"/>
      <c r="H18" s="1"/>
      <c r="I18" s="1"/>
      <c r="J18" s="2" t="s">
        <v>3</v>
      </c>
      <c r="K18" s="1" t="s">
        <v>39</v>
      </c>
      <c r="L18" s="1" t="s">
        <v>21</v>
      </c>
      <c r="M18" s="1" t="s">
        <v>2</v>
      </c>
      <c r="N18" s="1" t="s">
        <v>39</v>
      </c>
      <c r="O18" s="1"/>
      <c r="P18" s="1" t="s">
        <v>23</v>
      </c>
      <c r="Q18" s="1"/>
      <c r="R18" s="1"/>
      <c r="S18" s="1" t="s">
        <v>39</v>
      </c>
      <c r="T18" s="1" t="s">
        <v>39</v>
      </c>
      <c r="V18" s="3" t="s">
        <v>71</v>
      </c>
      <c r="W18" s="1" t="str">
        <f t="shared" si="0"/>
        <v>Dadashzadeh</v>
      </c>
      <c r="X18" s="1" t="str">
        <f t="shared" si="1"/>
        <v>Kulkarni</v>
      </c>
      <c r="Y18" s="1" t="str">
        <f t="shared" si="2"/>
        <v/>
      </c>
      <c r="Z18" s="1" t="str">
        <f t="shared" si="3"/>
        <v>Cyr</v>
      </c>
      <c r="AA18" s="1" t="str">
        <f t="shared" si="4"/>
        <v>Siow</v>
      </c>
      <c r="AB18" s="1" t="str">
        <f t="shared" si="4"/>
        <v/>
      </c>
      <c r="AC18" s="3"/>
      <c r="AD18" s="1" t="s">
        <v>39</v>
      </c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25">
      <c r="A19" s="1" t="s">
        <v>4</v>
      </c>
      <c r="B19" s="9">
        <v>18</v>
      </c>
      <c r="C19" s="1"/>
      <c r="D19" s="1"/>
      <c r="E19" s="1"/>
      <c r="F19" s="1"/>
      <c r="G19" s="1" t="s">
        <v>3</v>
      </c>
      <c r="H19" s="1"/>
      <c r="I19" s="1"/>
      <c r="J19" s="2"/>
      <c r="K19" s="1" t="s">
        <v>39</v>
      </c>
      <c r="L19" s="1"/>
      <c r="M19" s="1"/>
      <c r="N19" s="1" t="s">
        <v>39</v>
      </c>
      <c r="O19" s="1"/>
      <c r="P19" s="1"/>
      <c r="Q19" s="1" t="s">
        <v>23</v>
      </c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Myers</v>
      </c>
      <c r="Y19" s="1" t="str">
        <f t="shared" si="2"/>
        <v/>
      </c>
      <c r="Z19" s="1" t="str">
        <f t="shared" si="3"/>
        <v/>
      </c>
      <c r="AA19" s="1" t="str">
        <f t="shared" si="4"/>
        <v>Handzel</v>
      </c>
      <c r="AB19" s="1" t="str">
        <f t="shared" si="4"/>
        <v/>
      </c>
      <c r="AC19" s="3"/>
      <c r="AD19" s="1"/>
      <c r="AE19" s="1" t="s">
        <v>39</v>
      </c>
      <c r="AF19" s="1"/>
      <c r="AG19" s="1"/>
      <c r="AH19" s="1" t="s">
        <v>39</v>
      </c>
      <c r="AJ19" s="15"/>
      <c r="AK19" s="16"/>
      <c r="AL19" s="17"/>
    </row>
    <row r="20" spans="1:38" x14ac:dyDescent="0.25">
      <c r="A20" s="1" t="s">
        <v>10</v>
      </c>
      <c r="B20" s="9">
        <v>19</v>
      </c>
      <c r="C20" s="1" t="s">
        <v>22</v>
      </c>
      <c r="D20" s="1" t="s">
        <v>23</v>
      </c>
      <c r="E20" s="1"/>
      <c r="F20" s="1"/>
      <c r="G20" s="1" t="s">
        <v>39</v>
      </c>
      <c r="H20" s="1" t="s">
        <v>39</v>
      </c>
      <c r="I20" s="1" t="s">
        <v>3</v>
      </c>
      <c r="J20" s="2"/>
      <c r="K20" s="1" t="s">
        <v>39</v>
      </c>
      <c r="L20" s="1"/>
      <c r="M20" s="1"/>
      <c r="N20" s="1" t="s">
        <v>39</v>
      </c>
      <c r="O20" s="1" t="s">
        <v>39</v>
      </c>
      <c r="P20" s="1"/>
      <c r="Q20" s="1" t="s">
        <v>39</v>
      </c>
      <c r="R20" s="1"/>
      <c r="S20" s="1" t="s">
        <v>39</v>
      </c>
      <c r="T20" s="1" t="s">
        <v>39</v>
      </c>
      <c r="W20" s="1" t="str">
        <f t="shared" si="0"/>
        <v/>
      </c>
      <c r="X20" s="1" t="str">
        <f t="shared" si="1"/>
        <v>Van Der Windt</v>
      </c>
      <c r="Y20" s="1" t="str">
        <f t="shared" si="2"/>
        <v>Dyer</v>
      </c>
      <c r="Z20" s="1" t="str">
        <f t="shared" si="3"/>
        <v/>
      </c>
      <c r="AA20" s="1" t="str">
        <f t="shared" si="4"/>
        <v>Okolo</v>
      </c>
      <c r="AB20" s="1" t="str">
        <f t="shared" si="4"/>
        <v/>
      </c>
      <c r="AC20" s="3"/>
      <c r="AD20" s="1"/>
      <c r="AE20" s="1" t="s">
        <v>39</v>
      </c>
      <c r="AF20" s="1" t="s">
        <v>39</v>
      </c>
      <c r="AG20" s="1"/>
      <c r="AH20" s="1" t="s">
        <v>39</v>
      </c>
      <c r="AJ20" s="15"/>
      <c r="AK20" s="16"/>
      <c r="AL20" s="17"/>
    </row>
    <row r="21" spans="1:38" x14ac:dyDescent="0.25">
      <c r="A21" s="1" t="s">
        <v>5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2" t="s">
        <v>39</v>
      </c>
      <c r="K21" s="1" t="s">
        <v>39</v>
      </c>
      <c r="L21" s="1" t="s">
        <v>39</v>
      </c>
      <c r="M21" s="1" t="s">
        <v>2</v>
      </c>
      <c r="N21" s="1" t="s">
        <v>3</v>
      </c>
      <c r="O21" s="1" t="s">
        <v>39</v>
      </c>
      <c r="P21" s="1"/>
      <c r="Q21" s="1" t="s">
        <v>39</v>
      </c>
      <c r="R21" s="1"/>
      <c r="S21" s="1" t="s">
        <v>39</v>
      </c>
      <c r="T21" s="1" t="s">
        <v>39</v>
      </c>
      <c r="V21" s="3" t="s">
        <v>72</v>
      </c>
      <c r="W21" s="1" t="str">
        <f t="shared" si="0"/>
        <v>Dadashzadeh</v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Gallagher</v>
      </c>
      <c r="AB21" s="1" t="str">
        <f t="shared" si="4"/>
        <v/>
      </c>
      <c r="AC21" s="3"/>
      <c r="AD21" s="1" t="s">
        <v>39</v>
      </c>
      <c r="AE21" s="1"/>
      <c r="AF21" s="1"/>
      <c r="AG21" s="1"/>
      <c r="AH21" s="1" t="s">
        <v>39</v>
      </c>
      <c r="AJ21" s="19"/>
      <c r="AK21" s="22"/>
      <c r="AL21" s="17"/>
    </row>
    <row r="22" spans="1:38" x14ac:dyDescent="0.25">
      <c r="A22" s="1" t="s">
        <v>6</v>
      </c>
      <c r="B22" s="9">
        <v>21</v>
      </c>
      <c r="C22" s="1" t="s">
        <v>39</v>
      </c>
      <c r="D22" s="1" t="s">
        <v>39</v>
      </c>
      <c r="E22" s="1" t="s">
        <v>39</v>
      </c>
      <c r="F22" s="1" t="s">
        <v>39</v>
      </c>
      <c r="G22" s="1" t="s">
        <v>39</v>
      </c>
      <c r="H22" s="1" t="s">
        <v>39</v>
      </c>
      <c r="I22" s="1" t="s">
        <v>39</v>
      </c>
      <c r="J22" s="2" t="s">
        <v>39</v>
      </c>
      <c r="K22" s="1" t="s">
        <v>39</v>
      </c>
      <c r="L22" s="1" t="s">
        <v>39</v>
      </c>
      <c r="M22" s="1" t="s">
        <v>39</v>
      </c>
      <c r="N22" s="1"/>
      <c r="O22" s="1" t="s">
        <v>39</v>
      </c>
      <c r="P22" s="1" t="s">
        <v>2</v>
      </c>
      <c r="Q22" s="1" t="s">
        <v>39</v>
      </c>
      <c r="R22" s="1"/>
      <c r="S22" s="1" t="s">
        <v>39</v>
      </c>
      <c r="T22" s="1" t="s">
        <v>39</v>
      </c>
      <c r="V22" s="3" t="s">
        <v>63</v>
      </c>
      <c r="W22" s="1" t="str">
        <f t="shared" si="0"/>
        <v>Kulkarni</v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 t="s">
        <v>39</v>
      </c>
      <c r="AE22" s="1"/>
      <c r="AF22" s="1"/>
      <c r="AG22" s="1"/>
      <c r="AH22" s="1" t="s">
        <v>39</v>
      </c>
      <c r="AJ22" s="15"/>
      <c r="AK22" s="22"/>
      <c r="AL22" s="17"/>
    </row>
    <row r="23" spans="1:38" x14ac:dyDescent="0.25">
      <c r="A23" s="1" t="s">
        <v>7</v>
      </c>
      <c r="B23" s="9">
        <v>22</v>
      </c>
      <c r="C23" s="1" t="s">
        <v>39</v>
      </c>
      <c r="D23" s="1" t="s">
        <v>39</v>
      </c>
      <c r="E23" s="1" t="s">
        <v>39</v>
      </c>
      <c r="F23" s="1" t="s">
        <v>39</v>
      </c>
      <c r="G23" s="1" t="s">
        <v>39</v>
      </c>
      <c r="H23" s="1" t="s">
        <v>39</v>
      </c>
      <c r="I23" s="1" t="s">
        <v>39</v>
      </c>
      <c r="J23" s="2" t="s">
        <v>39</v>
      </c>
      <c r="K23" s="1" t="s">
        <v>39</v>
      </c>
      <c r="L23" s="1" t="s">
        <v>39</v>
      </c>
      <c r="M23" s="1"/>
      <c r="N23" s="1" t="s">
        <v>23</v>
      </c>
      <c r="O23" s="1" t="s">
        <v>39</v>
      </c>
      <c r="P23" s="1"/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Gallagher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5"/>
      <c r="AK23" s="22"/>
      <c r="AL23" s="17"/>
    </row>
    <row r="24" spans="1:38" x14ac:dyDescent="0.25">
      <c r="A24" s="1" t="s">
        <v>8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 t="s">
        <v>3</v>
      </c>
      <c r="H24" s="1" t="s">
        <v>39</v>
      </c>
      <c r="I24" s="1" t="s">
        <v>39</v>
      </c>
      <c r="J24" s="2" t="s">
        <v>39</v>
      </c>
      <c r="K24" s="1" t="s">
        <v>39</v>
      </c>
      <c r="L24" s="1"/>
      <c r="M24" s="1" t="s">
        <v>23</v>
      </c>
      <c r="N24" s="1" t="s">
        <v>39</v>
      </c>
      <c r="O24" s="1" t="s">
        <v>39</v>
      </c>
      <c r="P24" s="1"/>
      <c r="Q24" s="1" t="s">
        <v>39</v>
      </c>
      <c r="R24" s="1"/>
      <c r="S24" s="1" t="s">
        <v>39</v>
      </c>
      <c r="T24" s="1" t="s">
        <v>39</v>
      </c>
      <c r="V24" s="3" t="s">
        <v>70</v>
      </c>
      <c r="W24" s="1" t="str">
        <f t="shared" si="0"/>
        <v>Griepentrog</v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Handzel</v>
      </c>
      <c r="AB24" s="1" t="str">
        <f t="shared" si="4"/>
        <v/>
      </c>
      <c r="AC24" s="3"/>
      <c r="AD24" s="1" t="s">
        <v>39</v>
      </c>
      <c r="AE24" s="1" t="s">
        <v>39</v>
      </c>
      <c r="AF24" s="1"/>
      <c r="AG24" s="1"/>
      <c r="AH24" s="1" t="s">
        <v>39</v>
      </c>
      <c r="AJ24" s="15"/>
      <c r="AK24" s="22"/>
      <c r="AL24" s="17"/>
    </row>
    <row r="25" spans="1:38" x14ac:dyDescent="0.25">
      <c r="A25" s="1" t="s">
        <v>9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39</v>
      </c>
      <c r="I25" s="1" t="s">
        <v>39</v>
      </c>
      <c r="J25" s="2" t="s">
        <v>39</v>
      </c>
      <c r="K25" s="1" t="s">
        <v>3</v>
      </c>
      <c r="L25" s="1" t="s">
        <v>2</v>
      </c>
      <c r="M25" s="1" t="s">
        <v>39</v>
      </c>
      <c r="N25" s="1" t="s">
        <v>39</v>
      </c>
      <c r="O25" s="1" t="s">
        <v>23</v>
      </c>
      <c r="P25" s="1"/>
      <c r="Q25" s="1" t="s">
        <v>39</v>
      </c>
      <c r="R25" s="1"/>
      <c r="S25" s="1" t="s">
        <v>39</v>
      </c>
      <c r="T25" s="1" t="s">
        <v>39</v>
      </c>
      <c r="V25" s="3" t="s">
        <v>63</v>
      </c>
      <c r="W25" s="1" t="str">
        <f t="shared" si="0"/>
        <v>Cyr</v>
      </c>
      <c r="X25" s="1" t="str">
        <f t="shared" si="1"/>
        <v>Huckaby</v>
      </c>
      <c r="Y25" s="1" t="str">
        <f t="shared" si="2"/>
        <v/>
      </c>
      <c r="Z25" s="1" t="str">
        <f t="shared" si="3"/>
        <v/>
      </c>
      <c r="AA25" s="1" t="str">
        <f t="shared" si="4"/>
        <v>Tam</v>
      </c>
      <c r="AB25" s="1" t="str">
        <f t="shared" si="4"/>
        <v/>
      </c>
      <c r="AC25" s="3"/>
      <c r="AD25" s="1" t="s">
        <v>39</v>
      </c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25">
      <c r="A26" s="1" t="s">
        <v>4</v>
      </c>
      <c r="B26" s="9">
        <v>25</v>
      </c>
      <c r="C26" s="1"/>
      <c r="D26" s="1"/>
      <c r="E26" s="1"/>
      <c r="F26" s="1"/>
      <c r="G26" s="1"/>
      <c r="H26" s="1" t="s">
        <v>3</v>
      </c>
      <c r="I26" s="1" t="s">
        <v>23</v>
      </c>
      <c r="J26" s="2" t="s">
        <v>39</v>
      </c>
      <c r="K26" s="1" t="s">
        <v>39</v>
      </c>
      <c r="L26" s="1"/>
      <c r="M26" s="1" t="s">
        <v>39</v>
      </c>
      <c r="N26" s="1"/>
      <c r="O26" s="1"/>
      <c r="P26" s="1" t="s">
        <v>2</v>
      </c>
      <c r="Q26" s="1" t="s">
        <v>39</v>
      </c>
      <c r="R26" s="1"/>
      <c r="S26" s="1"/>
      <c r="T26" s="1" t="s">
        <v>39</v>
      </c>
      <c r="V26" s="3" t="s">
        <v>69</v>
      </c>
      <c r="W26" s="1" t="str">
        <f t="shared" si="0"/>
        <v>Kulkarni</v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>Hill (Kirk)</v>
      </c>
      <c r="AB26" s="1" t="str">
        <f t="shared" si="4"/>
        <v/>
      </c>
      <c r="AC26" s="3"/>
      <c r="AD26" s="1" t="s">
        <v>39</v>
      </c>
      <c r="AE26" s="1" t="s">
        <v>39</v>
      </c>
      <c r="AF26" s="1"/>
      <c r="AG26" s="1"/>
      <c r="AH26" s="1" t="s">
        <v>39</v>
      </c>
      <c r="AJ26" s="15"/>
      <c r="AK26" s="22"/>
      <c r="AL26" s="17"/>
    </row>
    <row r="27" spans="1:38" x14ac:dyDescent="0.25">
      <c r="A27" s="1" t="s">
        <v>10</v>
      </c>
      <c r="B27" s="9">
        <v>26</v>
      </c>
      <c r="C27" s="1" t="s">
        <v>23</v>
      </c>
      <c r="D27" s="1"/>
      <c r="E27" s="1"/>
      <c r="F27" s="1"/>
      <c r="G27" s="1" t="s">
        <v>39</v>
      </c>
      <c r="H27" s="1" t="s">
        <v>39</v>
      </c>
      <c r="I27" s="1"/>
      <c r="J27" s="2" t="s">
        <v>39</v>
      </c>
      <c r="K27" s="1" t="s">
        <v>39</v>
      </c>
      <c r="L27" s="1"/>
      <c r="M27" s="1" t="s">
        <v>39</v>
      </c>
      <c r="N27" s="1" t="s">
        <v>39</v>
      </c>
      <c r="O27" s="1"/>
      <c r="P27" s="1"/>
      <c r="Q27" s="1" t="s">
        <v>39</v>
      </c>
      <c r="R27" s="1"/>
      <c r="S27" s="1" t="s">
        <v>3</v>
      </c>
      <c r="T27" s="1" t="s">
        <v>39</v>
      </c>
      <c r="W27" s="1" t="str">
        <f t="shared" si="0"/>
        <v/>
      </c>
      <c r="X27" s="1" t="str">
        <f t="shared" si="1"/>
        <v>Dyer</v>
      </c>
      <c r="Y27" s="1" t="str">
        <f t="shared" si="2"/>
        <v/>
      </c>
      <c r="Z27" s="1" t="str">
        <f t="shared" si="3"/>
        <v/>
      </c>
      <c r="AA27" s="1" t="str">
        <f t="shared" si="4"/>
        <v>Yecies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5"/>
      <c r="AK27" s="22"/>
      <c r="AL27" s="17"/>
    </row>
    <row r="28" spans="1:38" x14ac:dyDescent="0.25">
      <c r="A28" s="1" t="s">
        <v>5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2" t="s">
        <v>2</v>
      </c>
      <c r="K28" s="1" t="s">
        <v>3</v>
      </c>
      <c r="L28" s="1"/>
      <c r="M28" s="1" t="s">
        <v>39</v>
      </c>
      <c r="N28" s="1" t="s">
        <v>39</v>
      </c>
      <c r="O28" s="1"/>
      <c r="P28" s="1"/>
      <c r="Q28" s="1" t="s">
        <v>39</v>
      </c>
      <c r="R28" s="1"/>
      <c r="S28" s="1"/>
      <c r="T28" s="1" t="s">
        <v>39</v>
      </c>
      <c r="V28" s="3" t="s">
        <v>64</v>
      </c>
      <c r="W28" s="1" t="str">
        <f t="shared" si="0"/>
        <v>Siow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Tam</v>
      </c>
      <c r="AB28" s="1" t="str">
        <f t="shared" si="4"/>
        <v/>
      </c>
      <c r="AC28" s="3"/>
      <c r="AD28" s="1" t="s">
        <v>39</v>
      </c>
      <c r="AE28" s="1"/>
      <c r="AF28" s="1"/>
      <c r="AG28" s="1"/>
      <c r="AH28" s="1" t="s">
        <v>39</v>
      </c>
      <c r="AJ28" s="15"/>
      <c r="AK28" s="22"/>
      <c r="AL28" s="17"/>
    </row>
    <row r="29" spans="1:38" x14ac:dyDescent="0.25">
      <c r="A29" s="1" t="s">
        <v>6</v>
      </c>
      <c r="B29" s="9">
        <v>28</v>
      </c>
      <c r="C29" s="1"/>
      <c r="D29" s="1"/>
      <c r="E29" s="1" t="s">
        <v>39</v>
      </c>
      <c r="F29" s="1"/>
      <c r="G29" s="1"/>
      <c r="H29" s="1" t="s">
        <v>39</v>
      </c>
      <c r="I29" s="1"/>
      <c r="J29" s="2"/>
      <c r="K29" s="1" t="s">
        <v>2</v>
      </c>
      <c r="L29" s="1"/>
      <c r="M29" s="1" t="s">
        <v>39</v>
      </c>
      <c r="N29" s="1" t="s">
        <v>39</v>
      </c>
      <c r="O29" s="1"/>
      <c r="P29" s="1"/>
      <c r="Q29" s="1" t="s">
        <v>39</v>
      </c>
      <c r="R29" s="1"/>
      <c r="S29" s="1"/>
      <c r="T29" s="1" t="s">
        <v>39</v>
      </c>
      <c r="V29" s="3" t="s">
        <v>66</v>
      </c>
      <c r="W29" s="1" t="str">
        <f t="shared" si="0"/>
        <v>Tam</v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 t="s">
        <v>39</v>
      </c>
      <c r="AE29" s="1"/>
      <c r="AF29" s="1"/>
      <c r="AG29" s="1"/>
      <c r="AH29" s="1" t="s">
        <v>39</v>
      </c>
      <c r="AJ29" s="15"/>
      <c r="AK29" s="22"/>
      <c r="AL29" s="17"/>
    </row>
    <row r="30" spans="1:38" x14ac:dyDescent="0.25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2"/>
      <c r="K30" s="1" t="s">
        <v>23</v>
      </c>
      <c r="L30" s="1"/>
      <c r="M30" s="1" t="s">
        <v>39</v>
      </c>
      <c r="N30" s="1" t="s">
        <v>39</v>
      </c>
      <c r="O30" s="1"/>
      <c r="P30" s="1"/>
      <c r="Q30" s="1" t="s">
        <v>39</v>
      </c>
      <c r="R30" s="1"/>
      <c r="S30" s="1"/>
      <c r="T30" s="1" t="s">
        <v>39</v>
      </c>
      <c r="W30" s="1" t="str">
        <f t="shared" si="0"/>
        <v/>
      </c>
      <c r="X30" s="1" t="str">
        <f t="shared" si="1"/>
        <v>Tam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5"/>
      <c r="AK30" s="22"/>
      <c r="AL30" s="17"/>
    </row>
    <row r="31" spans="1:38" x14ac:dyDescent="0.25">
      <c r="A31" s="1" t="s">
        <v>8</v>
      </c>
      <c r="B31" s="9">
        <v>30</v>
      </c>
      <c r="C31" s="1"/>
      <c r="D31" s="1"/>
      <c r="E31" s="1" t="s">
        <v>39</v>
      </c>
      <c r="F31" s="1"/>
      <c r="G31" s="1"/>
      <c r="H31" s="1" t="s">
        <v>3</v>
      </c>
      <c r="I31" s="1"/>
      <c r="J31" s="2" t="s">
        <v>23</v>
      </c>
      <c r="K31" s="1" t="s">
        <v>39</v>
      </c>
      <c r="L31" s="1"/>
      <c r="M31" s="1" t="s">
        <v>39</v>
      </c>
      <c r="N31" s="1" t="s">
        <v>39</v>
      </c>
      <c r="O31" s="1" t="s">
        <v>39</v>
      </c>
      <c r="P31" s="1"/>
      <c r="Q31" s="1" t="s">
        <v>39</v>
      </c>
      <c r="R31" s="1"/>
      <c r="S31" s="1"/>
      <c r="T31" s="1" t="s">
        <v>39</v>
      </c>
      <c r="W31" s="1" t="str">
        <f t="shared" si="0"/>
        <v/>
      </c>
      <c r="X31" s="1" t="str">
        <f t="shared" si="1"/>
        <v>Siow</v>
      </c>
      <c r="Y31" s="1" t="str">
        <f t="shared" si="2"/>
        <v/>
      </c>
      <c r="Z31" s="1" t="str">
        <f t="shared" si="3"/>
        <v/>
      </c>
      <c r="AA31" s="1" t="str">
        <f t="shared" si="4"/>
        <v>Hill (Kirk)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5"/>
      <c r="AK31" s="22"/>
      <c r="AL31" s="17"/>
    </row>
    <row r="32" spans="1:38" x14ac:dyDescent="0.25">
      <c r="A32" s="1" t="s">
        <v>9</v>
      </c>
      <c r="B32" s="9">
        <v>31</v>
      </c>
      <c r="C32" s="1"/>
      <c r="D32" s="1" t="s">
        <v>2</v>
      </c>
      <c r="E32" s="1"/>
      <c r="F32" s="1" t="s">
        <v>39</v>
      </c>
      <c r="G32" s="1" t="s">
        <v>23</v>
      </c>
      <c r="H32" s="1"/>
      <c r="I32" s="1"/>
      <c r="J32" s="2" t="s">
        <v>3</v>
      </c>
      <c r="K32" s="1" t="s">
        <v>39</v>
      </c>
      <c r="L32" s="1"/>
      <c r="M32" s="1" t="s">
        <v>39</v>
      </c>
      <c r="N32" s="1" t="s">
        <v>39</v>
      </c>
      <c r="O32" s="1"/>
      <c r="P32" s="1"/>
      <c r="Q32" s="1" t="s">
        <v>39</v>
      </c>
      <c r="R32" s="1"/>
      <c r="S32" s="1"/>
      <c r="T32" s="1" t="s">
        <v>39</v>
      </c>
      <c r="V32" s="3" t="s">
        <v>70</v>
      </c>
      <c r="W32" s="1" t="str">
        <f>IF(ISBLANK(AD32),"",IF(COUNTIF($C32:$T32,W$1)&lt;1,"NEEDS COVERAGE",IF(COUNTIF($C32:$T32,W$1)&gt;1,"ERROR",IF(ISNA(INDEX($C$1:$T$1,MATCH(W$1,$C32:$T32,0))),"",INDEX($C$1:$T$1,MATCH(W$1,$C32:$T32,0))))))</f>
        <v>Van Der Windt</v>
      </c>
      <c r="X32" s="1" t="str">
        <f>IF(ISBLANK(AE32),"",IF(COUNTIF($C32:$T32,X$1)&lt;1,"NEEDS COVERAGE",IF(COUNTIF($C32:$T32,X$1)&gt;1,"ERROR",IF(ISNA(INDEX($C$1:$T$1,MATCH(X$1,$C32:$T32,0))),"",INDEX($C$1:$T$1,MATCH(X$1,$C32:$T32,0))))))</f>
        <v>Handzel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5"/>
      <c r="AK32" s="22"/>
      <c r="AL32" s="17"/>
    </row>
    <row r="33" spans="1:37" x14ac:dyDescent="0.25">
      <c r="B33" s="20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25">
      <c r="A34" s="7" t="s">
        <v>11</v>
      </c>
      <c r="B34" s="20"/>
      <c r="C34" s="7" t="s">
        <v>48</v>
      </c>
      <c r="D34" s="7" t="s">
        <v>49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33" t="s">
        <v>48</v>
      </c>
      <c r="K34" s="7" t="s">
        <v>55</v>
      </c>
      <c r="L34" s="7" t="s">
        <v>41</v>
      </c>
      <c r="M34" s="7" t="s">
        <v>48</v>
      </c>
      <c r="N34" s="7" t="s">
        <v>58</v>
      </c>
      <c r="O34" s="7" t="s">
        <v>59</v>
      </c>
      <c r="P34" s="7" t="s">
        <v>48</v>
      </c>
      <c r="Q34" s="7" t="s">
        <v>48</v>
      </c>
      <c r="R34" s="7" t="s">
        <v>49</v>
      </c>
      <c r="S34" s="7" t="s">
        <v>57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20</v>
      </c>
      <c r="AE34" s="1">
        <f>COUNTIF(AE2:AE31,"x")</f>
        <v>22</v>
      </c>
      <c r="AF34" s="1">
        <f>COUNTIF(AF2:AF31,"x")</f>
        <v>2</v>
      </c>
      <c r="AG34" s="1">
        <f>COUNTIF(AG2:AG31,"x")</f>
        <v>7</v>
      </c>
      <c r="AH34" s="1">
        <f>COUNTIF(AH2:AH31,"x")</f>
        <v>30</v>
      </c>
      <c r="AK34" s="22"/>
    </row>
    <row r="35" spans="1:37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4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2">
        <f t="shared" si="5"/>
        <v>5</v>
      </c>
      <c r="K35" s="1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5</v>
      </c>
      <c r="Q35" s="1">
        <f t="shared" si="5"/>
        <v>5</v>
      </c>
      <c r="R35" s="1">
        <f t="shared" si="5"/>
        <v>4</v>
      </c>
      <c r="S35" s="1">
        <f t="shared" si="5"/>
        <v>2</v>
      </c>
      <c r="T35" s="1">
        <f t="shared" si="5"/>
        <v>0</v>
      </c>
      <c r="V35" s="3"/>
      <c r="Y35" s="29"/>
      <c r="Z35" s="29"/>
      <c r="AA35" s="29"/>
      <c r="AB35" s="29"/>
      <c r="AC35" s="29"/>
      <c r="AI35" s="7"/>
      <c r="AK35" s="22"/>
    </row>
    <row r="36" spans="1:37" x14ac:dyDescent="0.25">
      <c r="A36" s="1" t="s">
        <v>28</v>
      </c>
      <c r="B36" s="9"/>
      <c r="C36" s="9">
        <f>INT(RIGHT(C34))</f>
        <v>5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21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5</v>
      </c>
      <c r="Q36" s="9">
        <f t="shared" si="7"/>
        <v>5</v>
      </c>
      <c r="R36" s="9">
        <f t="shared" si="7"/>
        <v>4</v>
      </c>
      <c r="S36" s="9">
        <f t="shared" si="7"/>
        <v>2</v>
      </c>
      <c r="T36" s="9">
        <f t="shared" si="7"/>
        <v>0</v>
      </c>
      <c r="W36" s="14" t="s">
        <v>45</v>
      </c>
      <c r="X36" s="3">
        <f>SUM(AE34:AH34)</f>
        <v>61</v>
      </c>
      <c r="AK36" s="22"/>
    </row>
    <row r="37" spans="1:37" x14ac:dyDescent="0.25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21">
        <f t="shared" si="8"/>
        <v>0</v>
      </c>
      <c r="K37" s="9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46</v>
      </c>
      <c r="X37" s="3">
        <f>SUM(AD34:AH34)</f>
        <v>81</v>
      </c>
      <c r="AK37" s="22"/>
    </row>
    <row r="38" spans="1:37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21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68</v>
      </c>
      <c r="AK38" s="22"/>
    </row>
    <row r="39" spans="1:37" x14ac:dyDescent="0.25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2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21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1</v>
      </c>
      <c r="O39" s="9">
        <f t="shared" si="10"/>
        <v>1</v>
      </c>
      <c r="P39" s="9">
        <f t="shared" si="10"/>
        <v>2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25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21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25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21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25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2</v>
      </c>
      <c r="F42" s="9">
        <f t="shared" si="11"/>
        <v>1</v>
      </c>
      <c r="G42" s="9">
        <f t="shared" si="11"/>
        <v>2</v>
      </c>
      <c r="H42" s="9">
        <f t="shared" si="11"/>
        <v>2</v>
      </c>
      <c r="I42" s="9">
        <f t="shared" si="11"/>
        <v>1</v>
      </c>
      <c r="J42" s="21">
        <f t="shared" si="11"/>
        <v>1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1</v>
      </c>
      <c r="P42" s="9">
        <f t="shared" si="11"/>
        <v>2</v>
      </c>
      <c r="Q42" s="9">
        <f t="shared" si="11"/>
        <v>1</v>
      </c>
      <c r="R42" s="9">
        <f t="shared" si="11"/>
        <v>1</v>
      </c>
      <c r="S42" s="9">
        <f t="shared" si="11"/>
        <v>0</v>
      </c>
      <c r="T42" s="9">
        <f t="shared" si="11"/>
        <v>0</v>
      </c>
      <c r="AK42" s="22"/>
    </row>
    <row r="43" spans="1:37" x14ac:dyDescent="0.25">
      <c r="A43" s="1" t="s">
        <v>3</v>
      </c>
      <c r="B43" s="9"/>
      <c r="C43" s="9">
        <f t="shared" si="11"/>
        <v>1</v>
      </c>
      <c r="D43" s="9">
        <f t="shared" si="11"/>
        <v>2</v>
      </c>
      <c r="E43" s="9">
        <f t="shared" si="11"/>
        <v>0</v>
      </c>
      <c r="F43" s="9">
        <f t="shared" si="11"/>
        <v>0</v>
      </c>
      <c r="G43" s="9">
        <f t="shared" si="11"/>
        <v>2</v>
      </c>
      <c r="H43" s="9">
        <f t="shared" si="11"/>
        <v>2</v>
      </c>
      <c r="I43" s="9">
        <f t="shared" si="11"/>
        <v>2</v>
      </c>
      <c r="J43" s="21">
        <f t="shared" si="11"/>
        <v>3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0</v>
      </c>
      <c r="P43" s="9">
        <f t="shared" si="11"/>
        <v>0</v>
      </c>
      <c r="Q43" s="9">
        <f t="shared" si="11"/>
        <v>1</v>
      </c>
      <c r="R43" s="9">
        <f t="shared" si="11"/>
        <v>2</v>
      </c>
      <c r="S43" s="9">
        <f t="shared" si="11"/>
        <v>2</v>
      </c>
      <c r="T43" s="9">
        <f t="shared" si="11"/>
        <v>0</v>
      </c>
      <c r="AK43" s="22"/>
    </row>
    <row r="44" spans="1:37" x14ac:dyDescent="0.25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0</v>
      </c>
      <c r="E44" s="1">
        <f t="shared" si="12"/>
        <v>0</v>
      </c>
      <c r="F44" s="1">
        <f t="shared" si="12"/>
        <v>1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2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2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25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2">
        <f t="shared" si="14"/>
        <v>0</v>
      </c>
      <c r="K45" s="1">
        <f t="shared" si="14"/>
        <v>1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1</v>
      </c>
      <c r="O45" s="1">
        <f t="shared" si="15"/>
        <v>0</v>
      </c>
      <c r="P45" s="1">
        <f t="shared" si="15"/>
        <v>1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25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1</v>
      </c>
      <c r="J46" s="2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1</v>
      </c>
      <c r="N46" s="1">
        <f t="shared" si="17"/>
        <v>1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25">
      <c r="A47" s="1" t="s">
        <v>25</v>
      </c>
      <c r="C47" s="1">
        <f t="shared" ref="C47:T47" si="18">SUM(C44:C46)</f>
        <v>1</v>
      </c>
      <c r="D47" s="1">
        <f t="shared" si="18"/>
        <v>0</v>
      </c>
      <c r="E47" s="1">
        <f t="shared" si="18"/>
        <v>0</v>
      </c>
      <c r="F47" s="1">
        <f t="shared" si="18"/>
        <v>1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2">
        <f t="shared" si="18"/>
        <v>1</v>
      </c>
      <c r="K47" s="1">
        <f t="shared" si="18"/>
        <v>3</v>
      </c>
      <c r="L47" s="1">
        <f t="shared" ref="L47:R47" si="19">SUM(L44:L46)</f>
        <v>0</v>
      </c>
      <c r="M47" s="1">
        <f t="shared" si="19"/>
        <v>3</v>
      </c>
      <c r="N47" s="1">
        <f t="shared" si="19"/>
        <v>3</v>
      </c>
      <c r="O47" s="1">
        <f t="shared" si="19"/>
        <v>0</v>
      </c>
      <c r="P47" s="1">
        <f t="shared" si="19"/>
        <v>1</v>
      </c>
      <c r="Q47" s="1">
        <f t="shared" si="19"/>
        <v>0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25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0.23076923076923078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0.92307692307692313</v>
      </c>
      <c r="F48" s="11">
        <f>SUMPRODUCT(COUNTIFS($A$2:$A$32,{"Fri";"Sat";"Sun"},F$2:F$32,"x"))/$B48</f>
        <v>0.38461538461538464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0.76923076923076927</v>
      </c>
      <c r="I48" s="11">
        <f>SUMPRODUCT(COUNTIFS($A$2:$A$32,{"Fri";"Sat";"Sun"},I$2:I$32,"x"))/$B48</f>
        <v>0.46153846153846156</v>
      </c>
      <c r="J48" s="34">
        <f>SUMPRODUCT(COUNTIFS($A$2:$A$32,{"Fri";"Sat";"Sun"},J$2:J$32,"x"))/$B48</f>
        <v>0.53846153846153844</v>
      </c>
      <c r="K48" s="11">
        <f>SUMPRODUCT(COUNTIFS($A$2:$A$32,{"Fri";"Sat";"Sun"},K$2:K$32,"x"))/$B48</f>
        <v>0.76923076923076927</v>
      </c>
      <c r="L48" s="11">
        <f>SUMPRODUCT(COUNTIFS($A$2:$A$32,{"Fri";"Sat";"Sun"},L$2:L$32,"x"))/$B48</f>
        <v>0.69230769230769229</v>
      </c>
      <c r="M48" s="11">
        <f>SUMPRODUCT(COUNTIFS($A$2:$A$32,{"Fri";"Sat";"Sun"},M$2:M$32,"x"))/$B48</f>
        <v>0.38461538461538464</v>
      </c>
      <c r="N48" s="11">
        <f>SUMPRODUCT(COUNTIFS($A$2:$A$32,{"Fri";"Sat";"Sun"},N$2:N$32,"x"))/$B48</f>
        <v>0.23076923076923078</v>
      </c>
      <c r="O48" s="11">
        <f>SUMPRODUCT(COUNTIFS($A$2:$A$32,{"Fri";"Sat";"Sun"},O$2:O$32,"x"))/$B48</f>
        <v>0.46153846153846156</v>
      </c>
      <c r="P48" s="11">
        <f>SUMPRODUCT(COUNTIFS($A$2:$A$32,{"Fri";"Sat";"Sun"},P$2:P$32,"x"))/$B48</f>
        <v>0.30769230769230771</v>
      </c>
      <c r="Q48" s="11">
        <f>SUMPRODUCT(COUNTIFS($A$2:$A$32,{"Fri";"Sat";"Sun"},Q$2:Q$32,"x"))/$B48</f>
        <v>1</v>
      </c>
      <c r="R48" s="11">
        <f>SUMPRODUCT(COUNTIFS($A$2:$A$32,{"Fri";"Sat";"Sun"},R$2:R$32,"x"))/$B48</f>
        <v>0.30769230769230771</v>
      </c>
      <c r="S48" s="11">
        <f>SUMPRODUCT(COUNTIFS($A$2:$A$32,{"Fri";"Sat";"Sun"},S$2:S$32,"x"))/$B48</f>
        <v>0.46153846153846156</v>
      </c>
      <c r="T48" s="11">
        <f>SUMPRODUCT(COUNTIFS($A$2:$A$32,{"Fri";"Sat";"Sun"},T$2:T$32,"x"))/$B48</f>
        <v>1</v>
      </c>
      <c r="AK48" s="23"/>
    </row>
    <row r="49" spans="1:37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9.6774193548387094E-2</v>
      </c>
      <c r="D49" s="11">
        <f t="shared" si="20"/>
        <v>0.16129032258064516</v>
      </c>
      <c r="E49" s="11">
        <f t="shared" si="20"/>
        <v>0.5161290322580645</v>
      </c>
      <c r="F49" s="11">
        <f t="shared" si="20"/>
        <v>0.22580645161290322</v>
      </c>
      <c r="G49" s="11">
        <f t="shared" si="20"/>
        <v>0.54838709677419351</v>
      </c>
      <c r="H49" s="11">
        <f t="shared" si="20"/>
        <v>0.45161290322580644</v>
      </c>
      <c r="I49" s="11">
        <f t="shared" si="20"/>
        <v>0.29032258064516131</v>
      </c>
      <c r="J49" s="34">
        <f t="shared" si="20"/>
        <v>0.4838709677419355</v>
      </c>
      <c r="K49" s="11">
        <f t="shared" si="20"/>
        <v>0.83870967741935487</v>
      </c>
      <c r="L49" s="11">
        <f t="shared" si="20"/>
        <v>0.4838709677419355</v>
      </c>
      <c r="M49" s="11">
        <f t="shared" si="20"/>
        <v>0.35483870967741937</v>
      </c>
      <c r="N49" s="11">
        <f t="shared" si="20"/>
        <v>0.58064516129032262</v>
      </c>
      <c r="O49" s="11">
        <f t="shared" si="20"/>
        <v>0.38709677419354838</v>
      </c>
      <c r="P49" s="11">
        <f t="shared" si="20"/>
        <v>0.12903225806451613</v>
      </c>
      <c r="Q49" s="11">
        <f t="shared" si="20"/>
        <v>0.70967741935483875</v>
      </c>
      <c r="R49" s="11">
        <f t="shared" si="20"/>
        <v>0.12903225806451613</v>
      </c>
      <c r="S49" s="11">
        <f t="shared" si="20"/>
        <v>0.5161290322580645</v>
      </c>
      <c r="T49" s="11">
        <f t="shared" si="20"/>
        <v>1</v>
      </c>
      <c r="AK49" s="22"/>
    </row>
    <row r="50" spans="1:37" x14ac:dyDescent="0.25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35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51</v>
      </c>
      <c r="T50" s="12" t="s">
        <v>44</v>
      </c>
      <c r="AK50" s="22"/>
    </row>
    <row r="51" spans="1:37" x14ac:dyDescent="0.25">
      <c r="A51" s="12"/>
      <c r="B51" s="12"/>
      <c r="D51" s="12" t="s">
        <v>62</v>
      </c>
      <c r="E51" s="12"/>
      <c r="F51" s="12"/>
      <c r="G51" s="12"/>
      <c r="H51" s="12"/>
      <c r="I51" s="12"/>
      <c r="J51" s="35"/>
      <c r="K51" s="12" t="s">
        <v>56</v>
      </c>
      <c r="L51" s="12"/>
      <c r="M51" s="12"/>
      <c r="N51" s="12"/>
      <c r="P51" s="12"/>
      <c r="Q51" s="12" t="s">
        <v>53</v>
      </c>
      <c r="S51" s="12" t="s">
        <v>52</v>
      </c>
      <c r="AK51" s="22"/>
    </row>
    <row r="52" spans="1:37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35" t="s">
        <v>61</v>
      </c>
      <c r="K52" s="12"/>
      <c r="L52" s="12"/>
      <c r="M52" s="12"/>
      <c r="N52" s="12"/>
      <c r="O52" s="12"/>
      <c r="P52" s="12"/>
      <c r="Q52" s="12"/>
      <c r="R52" s="12" t="s">
        <v>54</v>
      </c>
      <c r="S52" s="12"/>
      <c r="T52" s="12"/>
    </row>
    <row r="53" spans="1:37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35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25">
      <c r="C57" s="8"/>
    </row>
  </sheetData>
  <conditionalFormatting sqref="I8:S8 C4:C30 D4:S7 D8:G8 H8:H28 D7:D28 N5:N22 M28:M32 C31:S32 D9:S30 T2:T33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S3:S31 C4:S32 T3:T33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S3:S31 N9:N10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1:AE33 AE35:AE1048576">
    <cfRule type="notContainsBlanks" dxfId="24" priority="37">
      <formula>LEN(TRIM(X1))&gt;0</formula>
    </cfRule>
  </conditionalFormatting>
  <conditionalFormatting sqref="AA1:AC1 AH1:AH33 AA33:AC1048576 AA2:AB32 AH35:AH1048576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N5:N22 M28:M32 C31:S32 D9:S30 T2:T33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2017-09-25T12:47:35Z</dcterms:modified>
</cp:coreProperties>
</file>