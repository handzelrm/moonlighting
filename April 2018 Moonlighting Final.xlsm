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B7955801-3206-40F7-B972-954479A6543B}" xr6:coauthVersionLast="28" xr6:coauthVersionMax="28" xr10:uidLastSave="{00000000-0000-0000-0000-000000000000}"/>
  <workbookProtection workbookAlgorithmName="SHA-512" workbookHashValue="BkqYBVqocB3l+UzCnWLHtZjW1pnXrMLN29Rm6bPpedWhWOyAmNjGwm/t1OcfVE4nzVjFhjzTq33N1PAE/egoAA==" workbookSaltValue="oOIwumbeZ/rwEz4zbpq6Rw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D5" i="5"/>
  <c r="AD6" i="5"/>
  <c r="AD7" i="5"/>
  <c r="AD8" i="5"/>
  <c r="AD9" i="5"/>
  <c r="AE10" i="3"/>
  <c r="AD10" i="5"/>
  <c r="AE11" i="3"/>
  <c r="AD11" i="5"/>
  <c r="AD12" i="5"/>
  <c r="AE13" i="3"/>
  <c r="AD13" i="5"/>
  <c r="AE14" i="3"/>
  <c r="AD14" i="5"/>
  <c r="AE15" i="3"/>
  <c r="AD15" i="5"/>
  <c r="AE16" i="3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E30" i="3"/>
  <c r="AD30" i="5"/>
  <c r="AE31" i="3"/>
  <c r="AD31" i="5"/>
  <c r="AD32" i="5"/>
  <c r="AD2" i="3"/>
  <c r="AC2" i="5"/>
  <c r="AD3" i="3"/>
  <c r="AC3" i="5"/>
  <c r="AD4" i="3"/>
  <c r="AC4" i="5"/>
  <c r="AC5" i="5"/>
  <c r="AC6" i="5"/>
  <c r="AC7" i="5"/>
  <c r="AC8" i="5"/>
  <c r="AC9" i="5"/>
  <c r="AD10" i="3"/>
  <c r="AC10" i="5"/>
  <c r="AD11" i="3"/>
  <c r="AC11" i="5"/>
  <c r="AC12" i="5"/>
  <c r="AD13" i="3"/>
  <c r="AC13" i="5"/>
  <c r="AD14" i="3"/>
  <c r="AC14" i="5"/>
  <c r="AD15" i="3"/>
  <c r="AC15" i="5"/>
  <c r="AD16" i="3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D30" i="3"/>
  <c r="AC30" i="5"/>
  <c r="AD31" i="3"/>
  <c r="AC31" i="5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AG34" i="3"/>
  <c r="Y36" i="3"/>
  <c r="AE5" i="3"/>
  <c r="AE6" i="3"/>
  <c r="AE7" i="3"/>
  <c r="AE8" i="3"/>
  <c r="AE9" i="3"/>
  <c r="AE12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2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J34" i="3"/>
  <c r="AI34" i="3"/>
  <c r="AH34" i="3"/>
  <c r="AB1" i="5"/>
  <c r="AC1" i="5"/>
  <c r="AC2" i="3"/>
  <c r="AB2" i="5"/>
  <c r="AC3" i="3"/>
  <c r="AB3" i="5"/>
  <c r="AC4" i="3"/>
  <c r="AB4" i="5"/>
  <c r="AC5" i="3"/>
  <c r="AB5" i="5"/>
  <c r="AD5" i="3"/>
  <c r="AC6" i="3"/>
  <c r="AB6" i="5"/>
  <c r="AD6" i="3"/>
  <c r="AC7" i="3"/>
  <c r="AB7" i="5"/>
  <c r="AD7" i="3"/>
  <c r="AC8" i="3"/>
  <c r="AB8" i="5"/>
  <c r="AD8" i="3"/>
  <c r="AC9" i="3"/>
  <c r="AB9" i="5"/>
  <c r="AD9" i="3"/>
  <c r="AC10" i="3"/>
  <c r="AB10" i="5"/>
  <c r="AC11" i="3"/>
  <c r="AB11" i="5"/>
  <c r="AC12" i="3"/>
  <c r="AB12" i="5"/>
  <c r="AD12" i="3"/>
  <c r="AC13" i="3"/>
  <c r="AB13" i="5"/>
  <c r="AC14" i="3"/>
  <c r="AB14" i="5"/>
  <c r="AC15" i="3"/>
  <c r="AB15" i="5"/>
  <c r="AC16" i="3"/>
  <c r="AB16" i="5"/>
  <c r="AC17" i="3"/>
  <c r="AB17" i="5"/>
  <c r="AD17" i="3"/>
  <c r="AC18" i="3"/>
  <c r="AB18" i="5"/>
  <c r="AD18" i="3"/>
  <c r="AC19" i="3"/>
  <c r="AB19" i="5"/>
  <c r="AD19" i="3"/>
  <c r="AC20" i="3"/>
  <c r="AB20" i="5"/>
  <c r="AD20" i="3"/>
  <c r="AC21" i="3"/>
  <c r="AB21" i="5"/>
  <c r="AD21" i="3"/>
  <c r="AC22" i="3"/>
  <c r="AB22" i="5"/>
  <c r="AD22" i="3"/>
  <c r="AC23" i="3"/>
  <c r="AB23" i="5"/>
  <c r="AD23" i="3"/>
  <c r="AC24" i="3"/>
  <c r="AB24" i="5"/>
  <c r="AD24" i="3"/>
  <c r="AC25" i="3"/>
  <c r="AB25" i="5"/>
  <c r="AD25" i="3"/>
  <c r="AC26" i="3"/>
  <c r="AB26" i="5"/>
  <c r="AD26" i="3"/>
  <c r="AC27" i="3"/>
  <c r="AB27" i="5"/>
  <c r="AD27" i="3"/>
  <c r="AC28" i="3"/>
  <c r="AB28" i="5"/>
  <c r="AD28" i="3"/>
  <c r="AC29" i="3"/>
  <c r="AB29" i="5"/>
  <c r="AD29" i="3"/>
  <c r="AC30" i="3"/>
  <c r="AB30" i="5"/>
  <c r="AC31" i="3"/>
  <c r="AB31" i="5"/>
  <c r="AC32" i="3"/>
  <c r="AB32" i="5"/>
  <c r="AD32" i="3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<sst xmlns="http://schemas.openxmlformats.org/spreadsheetml/2006/main" count="619" uniqueCount="77">
  <si>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</si>
  <si>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</si>
  <si>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</si>
  <si>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</si>
  <si>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</si>
  <si>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</si>
  <si>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</si>
  <si>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</si>
  <si>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</si>
  <si>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</si>
  <si>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</si>
  <si>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</si>
  <si>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</si>
  <si>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</si>
  <si>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</si>
  <si>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</si>
  <si>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</si>
  <si>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</si>
  <si>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</si>
  <si>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</si>
  <si>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</si>
  <si>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</si>
  <si>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</si>
  <si>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</si>
  <si>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</si>
  <si>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</si>
  <si>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</si>
  <si>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</si>
  <si>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</si>
  <si>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</si>
  <si>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</si>
  <si>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</si>
  <si>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</si>
  <si>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</si>
  <si>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</si>
  <si>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</si>
  <si>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</si>
  <si>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</si>
  <si>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</si>
  <si>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</si>
  <si>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</si>
  <si>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</si>
  <si>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</si>
  <si>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</si>
  <si>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</si>
  <si>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</si>
  <si>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</si>
  <si>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</si>
  <si>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</si>
  <si>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</si>
  <si>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</si>
  <si>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</si>
  <si>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</si>
  <si>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</si>
  <si>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and sat</t>
  </si>
  <si>
    <t>fri/sat call</t>
  </si>
  <si>
    <t>no trauma on 2nd</t>
  </si>
  <si>
    <t>4-5</t>
  </si>
  <si>
    <t>?</t>
  </si>
  <si>
    <t>SMH</t>
  </si>
  <si>
    <t>6</t>
  </si>
  <si>
    <t>can do 2 in a row 27-30</t>
  </si>
  <si>
    <t>0</t>
  </si>
  <si>
    <t>multiple 6-8 and 25-27</t>
  </si>
  <si>
    <t>MOHAN</t>
  </si>
  <si>
    <t>BRIGGS</t>
  </si>
  <si>
    <t>ALARCON</t>
  </si>
  <si>
    <t>SCHUCHERT</t>
  </si>
  <si>
    <t>ZUCKERBRAUN</t>
  </si>
  <si>
    <t>PUYANA</t>
  </si>
  <si>
    <t>BAUZA</t>
  </si>
  <si>
    <t>KAUTZA</t>
  </si>
  <si>
    <t>SPERRY</t>
  </si>
  <si>
    <t>NEAL</t>
  </si>
  <si>
    <t>FORSYTHE</t>
  </si>
  <si>
    <t>WATSON</t>
  </si>
  <si>
    <t>ct 28th- may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</si>
</sst>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8" fillId="2" borderId="0" xfId="0" applyFont="1" applyFill="1" applyBorder="1" applyAlignment="1">
      <alignment horizontal="center" vertic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21" sqref="L21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Sun</v>
      </c>
      <c r="B2" s="20">
        <f>IF(ISBLANK(Master!B2),"",Master!B2)</f>
        <v>1</v>
      </c>
      <c r="C2" s="20" t="str">
        <f>IF(ISBLANK(Master!C2),"",Master!C2)</f>
        <v/>
      </c>
      <c r="D2" s="20" t="str">
        <f>IF(ISBLANK(Master!D2),"",Master!D2)</f>
        <v>Trauma</v>
      </c>
      <c r="E2" s="20" t="str">
        <f>IF(ISBLANK(Master!E2),"",Master!E2)</f>
        <v>x</v>
      </c>
      <c r="F2" s="20" t="str">
        <f>IF(ISBLANK(Master!F2),"",Master!F2)</f>
        <v>x</v>
      </c>
      <c r="G2" s="20" t="str">
        <f>IF(ISBLANK(Master!G2),"",Master!G2)</f>
        <v/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/>
      </c>
      <c r="K2" s="20" t="str">
        <f>IF(ISBLANK(Master!K2),"",Master!K2)</f>
        <v>x</v>
      </c>
      <c r="L2" s="20" t="str">
        <f>IF(ISBLANK(Master!L2),"",Master!L2)</f>
        <v>SHY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x</v>
      </c>
      <c r="P2" s="20" t="str">
        <f>IF(ISBLANK(Master!P2),"",Master!P2)</f>
        <v/>
      </c>
      <c r="Q2" s="20">
        <f>IF(ISBLANK(Master!Q2),"",Master!Q2)</f>
        <v>1</v>
      </c>
      <c r="R2" s="20" t="str">
        <f>IF(ISBLANK(Master!R2),"",Master!R2)</f>
        <v>x</v>
      </c>
      <c r="S2" s="20" t="str">
        <f>IF(ISBLANK(Master!S2),"",Master!S2)</f>
        <v/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>Van Der Windt</v>
      </c>
      <c r="X2" s="19" t="str">
        <f>IF(ISBLANK(Master!Y2),"",Master!Y2)</f>
        <v>Dadashzadeh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NEEDS COVERAGE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Mon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/>
      </c>
      <c r="E3" s="20" t="str">
        <f>IF(ISBLANK(Master!E3),"",Master!E3)</f>
        <v/>
      </c>
      <c r="F3" s="20" t="str">
        <f>IF(ISBLANK(Master!F3),"",Master!F3)</f>
        <v/>
      </c>
      <c r="G3" s="20" t="str">
        <f>IF(ISBLANK(Master!G3),"",Master!G3)</f>
        <v>x</v>
      </c>
      <c r="H3" s="20" t="str">
        <f>IF(ISBLANK(Master!H3),"",Master!H3)</f>
        <v>x</v>
      </c>
      <c r="I3" s="20" t="str">
        <f>IF(ISBLANK(Master!I3),"",Master!I3)</f>
        <v>SHY</v>
      </c>
      <c r="J3" s="20" t="str">
        <f>IF(ISBLANK(Master!J3),"",Master!J3)</f>
        <v>CT</v>
      </c>
      <c r="K3" s="20" t="str">
        <f>IF(ISBLANK(Master!K3),"",Master!K3)</f>
        <v>x</v>
      </c>
      <c r="L3" s="20" t="str">
        <f>IF(ISBLANK(Master!L3),"",Master!L3)</f>
        <v/>
      </c>
      <c r="M3" s="20" t="str">
        <f>IF(ISBLANK(Master!M3),"",Master!M3)</f>
        <v/>
      </c>
      <c r="N3" s="20" t="str">
        <f>IF(ISBLANK(Master!N3),"",Master!N3)</f>
        <v>x</v>
      </c>
      <c r="O3" s="20" t="str">
        <f>IF(ISBLANK(Master!O3),"",Master!O3)</f>
        <v/>
      </c>
      <c r="P3" s="20" t="str">
        <f>IF(ISBLANK(Master!P3),"",Master!P3)</f>
        <v>SMH</v>
      </c>
      <c r="Q3" s="20" t="str">
        <f>IF(ISBLANK(Master!Q3),"",Master!Q3)</f>
        <v>Trauma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Nicholson</v>
      </c>
      <c r="X3" s="19" t="str">
        <f>IF(ISBLANK(Master!Y3),"",Master!Y3)</f>
        <v>Siow</v>
      </c>
      <c r="Y3" s="19" t="str">
        <f>IF(ISBLANK(Master!Z3),"",Master!Z3)</f>
        <v/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Myers</v>
      </c>
    </row>
    <row r="4" spans="1:30" x14ac:dyDescent="0.4">
      <c r="A4" s="20" t="str">
        <f>IF(ISBLANK(Master!A4),"",Master!A4)</f>
        <v>Tue</v>
      </c>
      <c r="B4" s="20">
        <f>IF(ISBLANK(Master!B4),"",Master!B4)</f>
        <v>3</v>
      </c>
      <c r="C4" s="20" t="str">
        <f>IF(ISBLANK(Master!C4),"",Master!C4)</f>
        <v>Trauma</v>
      </c>
      <c r="D4" s="20" t="str">
        <f>IF(ISBLANK(Master!D4),"",Master!D4)</f>
        <v/>
      </c>
      <c r="E4" s="20" t="str">
        <f>IF(ISBLANK(Master!E4),"",Master!E4)</f>
        <v>SHY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/>
      </c>
      <c r="I4" s="20" t="str">
        <f>IF(ISBLANK(Master!I4),"",Master!I4)</f>
        <v/>
      </c>
      <c r="J4" s="20" t="str">
        <f>IF(ISBLANK(Master!J4),"",Master!J4)</f>
        <v>x</v>
      </c>
      <c r="K4" s="20" t="str">
        <f>IF(ISBLANK(Master!K4),"",Master!K4)</f>
        <v>x</v>
      </c>
      <c r="L4" s="20" t="str">
        <f>IF(ISBLANK(Master!L4),"",Master!L4)</f>
        <v/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/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CT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>Dyer</v>
      </c>
      <c r="X4" s="19" t="str">
        <f>IF(ISBLANK(Master!Y4),"",Master!Y4)</f>
        <v>Yeh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Egro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Wed</v>
      </c>
      <c r="B5" s="20">
        <f>IF(ISBLANK(Master!B5),"",Master!B5)</f>
        <v>4</v>
      </c>
      <c r="C5" s="20" t="str">
        <f>IF(ISBLANK(Master!C5),"",Master!C5)</f>
        <v/>
      </c>
      <c r="D5" s="20" t="str">
        <f>IF(ISBLANK(Master!D5),"",Master!D5)</f>
        <v>x</v>
      </c>
      <c r="E5" s="20" t="str">
        <f>IF(ISBLANK(Master!E5),"",Master!E5)</f>
        <v/>
      </c>
      <c r="F5" s="20" t="str">
        <f>IF(ISBLANK(Master!F5),"",Master!F5)</f>
        <v>Trauma</v>
      </c>
      <c r="G5" s="20" t="str">
        <f>IF(ISBLANK(Master!G5),"",Master!G5)</f>
        <v>SHY</v>
      </c>
      <c r="H5" s="20" t="str">
        <f>IF(ISBLANK(Master!H5),"",Master!H5)</f>
        <v/>
      </c>
      <c r="I5" s="20" t="str">
        <f>IF(ISBLANK(Master!I5),"",Master!I5)</f>
        <v>CT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/>
      </c>
      <c r="M5" s="20" t="str">
        <f>IF(ISBLANK(Master!M5),"",Master!M5)</f>
        <v/>
      </c>
      <c r="N5" s="20" t="str">
        <f>IF(ISBLANK(Master!N5),"",Master!N5)</f>
        <v>x</v>
      </c>
      <c r="O5" s="20" t="str">
        <f>IF(ISBLANK(Master!O5),"",Master!O5)</f>
        <v/>
      </c>
      <c r="P5" s="20" t="str">
        <f>IF(ISBLANK(Master!P5),"",Master!P5)</f>
        <v>x</v>
      </c>
      <c r="Q5" s="20" t="str">
        <f>IF(ISBLANK(Master!Q5),"",Master!Q5)</f>
        <v/>
      </c>
      <c r="R5" s="20" t="str">
        <f>IF(ISBLANK(Master!R5),"",Master!R5)</f>
        <v>x</v>
      </c>
      <c r="S5" s="20" t="str">
        <f>IF(ISBLANK(Master!S5),"",Master!S5)</f>
        <v/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Griepentrog</v>
      </c>
      <c r="X5" s="19" t="str">
        <f>IF(ISBLANK(Master!Y5),"",Master!Y5)</f>
        <v>Handzel</v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Siow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Thu</v>
      </c>
      <c r="B6" s="20">
        <f>IF(ISBLANK(Master!B6),"",Master!B6)</f>
        <v>5</v>
      </c>
      <c r="C6" s="20" t="str">
        <f>IF(ISBLANK(Master!C6),"",Master!C6)</f>
        <v/>
      </c>
      <c r="D6" s="20" t="str">
        <f>IF(ISBLANK(Master!D6),"",Master!D6)</f>
        <v/>
      </c>
      <c r="E6" s="20" t="str">
        <f>IF(ISBLANK(Master!E6),"",Master!E6)</f>
        <v/>
      </c>
      <c r="F6" s="20" t="str">
        <f>IF(ISBLANK(Master!F6),"",Master!F6)</f>
        <v/>
      </c>
      <c r="G6" s="20" t="str">
        <f>IF(ISBLANK(Master!G6),"",Master!G6)</f>
        <v>?</v>
      </c>
      <c r="H6" s="20" t="str">
        <f>IF(ISBLANK(Master!H6),"",Master!H6)</f>
        <v/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/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SHY</v>
      </c>
      <c r="P6" s="20" t="str">
        <f>IF(ISBLANK(Master!P6),"",Master!P6)</f>
        <v>x</v>
      </c>
      <c r="Q6" s="20" t="str">
        <f>IF(ISBLANK(Master!Q6),"",Master!Q6)</f>
        <v/>
      </c>
      <c r="R6" s="20" t="str">
        <f>IF(ISBLANK(Master!R6),"",Master!R6)</f>
        <v>x</v>
      </c>
      <c r="S6" s="20" t="str">
        <f>IF(ISBLANK(Master!S6),"",Master!S6)</f>
        <v>CT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/>
      </c>
      <c r="X6" s="19" t="str">
        <f>IF(ISBLANK(Master!Y6),"",Master!Y6)</f>
        <v>Kulkarni</v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>Egro</v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Fri</v>
      </c>
      <c r="B7" s="20">
        <f>IF(ISBLANK(Master!B7),"",Master!B7)</f>
        <v>6</v>
      </c>
      <c r="C7" s="20" t="str">
        <f>IF(ISBLANK(Master!C7),"",Master!C7)</f>
        <v/>
      </c>
      <c r="D7" s="20" t="str">
        <f>IF(ISBLANK(Master!D7),"",Master!D7)</f>
        <v/>
      </c>
      <c r="E7" s="20" t="str">
        <f>IF(ISBLANK(Master!E7),"",Master!E7)</f>
        <v>x</v>
      </c>
      <c r="F7" s="20" t="str">
        <f>IF(ISBLANK(Master!F7),"",Master!F7)</f>
        <v/>
      </c>
      <c r="G7" s="20" t="str">
        <f>IF(ISBLANK(Master!G7),"",Master!G7)</f>
        <v/>
      </c>
      <c r="H7" s="20" t="str">
        <f>IF(ISBLANK(Master!H7),"",Master!H7)</f>
        <v>CT</v>
      </c>
      <c r="I7" s="20" t="str">
        <f>IF(ISBLANK(Master!I7),"",Master!I7)</f>
        <v>x</v>
      </c>
      <c r="J7" s="20" t="str">
        <f>IF(ISBLANK(Master!J7),"",Master!J7)</f>
        <v/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/>
      </c>
      <c r="N7" s="20" t="str">
        <f>IF(ISBLANK(Master!N7),"",Master!N7)</f>
        <v>x</v>
      </c>
      <c r="O7" s="20" t="str">
        <f>IF(ISBLANK(Master!O7),"",Master!O7)</f>
        <v/>
      </c>
      <c r="P7" s="20" t="str">
        <f>IF(ISBLANK(Master!P7),"",Master!P7)</f>
        <v>x</v>
      </c>
      <c r="Q7" s="20" t="str">
        <f>IF(ISBLANK(Master!Q7),"",Master!Q7)</f>
        <v/>
      </c>
      <c r="R7" s="20" t="str">
        <f>IF(ISBLANK(Master!R7),"",Master!R7)</f>
        <v>x</v>
      </c>
      <c r="S7" s="20" t="str">
        <f>IF(ISBLANK(Master!S7),"",Master!S7)</f>
        <v/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/>
      </c>
      <c r="X7" s="19" t="str">
        <f>IF(ISBLANK(Master!Y7),"",Master!Y7)</f>
        <v/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>Okolo</v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Sat</v>
      </c>
      <c r="B8" s="20">
        <f>IF(ISBLANK(Master!B8),"",Master!B8)</f>
        <v>7</v>
      </c>
      <c r="C8" s="20" t="str">
        <f>IF(ISBLANK(Master!C8),"",Master!C8)</f>
        <v/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/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/>
      </c>
      <c r="K8" s="20" t="str">
        <f>IF(ISBLANK(Master!K8),"",Master!K8)</f>
        <v>x</v>
      </c>
      <c r="L8" s="20" t="str">
        <f>IF(ISBLANK(Master!L8),"",Master!L8)</f>
        <v>Trauma</v>
      </c>
      <c r="M8" s="20" t="str">
        <f>IF(ISBLANK(Master!M8),"",Master!M8)</f>
        <v/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/>
      </c>
      <c r="R8" s="20" t="str">
        <f>IF(ISBLANK(Master!R8),"",Master!R8)</f>
        <v>x</v>
      </c>
      <c r="S8" s="20" t="str">
        <f>IF(ISBLANK(Master!S8),"",Master!S8)</f>
        <v>CT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>Dadashzadeh</v>
      </c>
      <c r="X8" s="19" t="str">
        <f>IF(ISBLANK(Master!Y8),"",Master!Y8)</f>
        <v/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Egro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Sun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>x</v>
      </c>
      <c r="F9" s="20" t="str">
        <f>IF(ISBLANK(Master!F9),"",Master!F9)</f>
        <v/>
      </c>
      <c r="G9" s="20" t="str">
        <f>IF(ISBLANK(Master!G9),"",Master!G9)</f>
        <v>SHY</v>
      </c>
      <c r="H9" s="20" t="str">
        <f>IF(ISBLANK(Master!H9),"",Master!H9)</f>
        <v/>
      </c>
      <c r="I9" s="20" t="str">
        <f>IF(ISBLANK(Master!I9),"",Master!I9)</f>
        <v>x</v>
      </c>
      <c r="J9" s="20" t="str">
        <f>IF(ISBLANK(Master!J9),"",Master!J9)</f>
        <v>Trauma</v>
      </c>
      <c r="K9" s="20" t="str">
        <f>IF(ISBLANK(Master!K9),"",Master!K9)</f>
        <v>x</v>
      </c>
      <c r="L9" s="20" t="str">
        <f>IF(ISBLANK(Master!L9),"",Master!L9)</f>
        <v/>
      </c>
      <c r="M9" s="20" t="str">
        <f>IF(ISBLANK(Master!M9),"",Master!M9)</f>
        <v/>
      </c>
      <c r="N9" s="20" t="str">
        <f>IF(ISBLANK(Master!N9),"",Master!N9)</f>
        <v>x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/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>Tam</v>
      </c>
      <c r="X9" s="19" t="str">
        <f>IF(ISBLANK(Master!Y9),"",Master!Y9)</f>
        <v>Handzel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NEEDS COVERAGE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Mon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>x</v>
      </c>
      <c r="F10" s="20" t="str">
        <f>IF(ISBLANK(Master!F10),"",Master!F10)</f>
        <v/>
      </c>
      <c r="G10" s="20" t="str">
        <f>IF(ISBLANK(Master!G10),"",Master!G10)</f>
        <v>x</v>
      </c>
      <c r="H10" s="20" t="str">
        <f>IF(ISBLANK(Master!H10),"",Master!H10)</f>
        <v/>
      </c>
      <c r="I10" s="20" t="str">
        <f>IF(ISBLANK(Master!I10),"",Master!I10)</f>
        <v>x</v>
      </c>
      <c r="J10" s="20" t="str">
        <f>IF(ISBLANK(Master!J10),"",Master!J10)</f>
        <v>x</v>
      </c>
      <c r="K10" s="20" t="str">
        <f>IF(ISBLANK(Master!K10),"",Master!K10)</f>
        <v/>
      </c>
      <c r="L10" s="20" t="str">
        <f>IF(ISBLANK(Master!L10),"",Master!L10)</f>
        <v/>
      </c>
      <c r="M10" s="20" t="str">
        <f>IF(ISBLANK(Master!M10),"",Master!M10)</f>
        <v>CT</v>
      </c>
      <c r="N10" s="20" t="str">
        <f>IF(ISBLANK(Master!N10),"",Master!N10)</f>
        <v>x</v>
      </c>
      <c r="O10" s="20" t="str">
        <f>IF(ISBLANK(Master!O10),"",Master!O10)</f>
        <v/>
      </c>
      <c r="P10" s="20" t="str">
        <f>IF(ISBLANK(Master!P10),"",Master!P10)</f>
        <v/>
      </c>
      <c r="Q10" s="20" t="str">
        <f>IF(ISBLANK(Master!Q10),"",Master!Q10)</f>
        <v>SHY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/>
      </c>
      <c r="X10" s="19" t="str">
        <f>IF(ISBLANK(Master!Y10),"",Master!Y10)</f>
        <v>Nicholson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Gallagher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Tue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>x</v>
      </c>
      <c r="E11" s="20" t="str">
        <f>IF(ISBLANK(Master!E11),"",Master!E11)</f>
        <v/>
      </c>
      <c r="F11" s="20" t="str">
        <f>IF(ISBLANK(Master!F11),"",Master!F11)</f>
        <v>SHY</v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>x</v>
      </c>
      <c r="J11" s="20" t="str">
        <f>IF(ISBLANK(Master!J11),"",Master!J11)</f>
        <v>x</v>
      </c>
      <c r="K11" s="20" t="str">
        <f>IF(ISBLANK(Master!K11),"",Master!K11)</f>
        <v>Trauma</v>
      </c>
      <c r="L11" s="20" t="str">
        <f>IF(ISBLANK(Master!L11),"",Master!L11)</f>
        <v>x</v>
      </c>
      <c r="M11" s="20" t="str">
        <f>IF(ISBLANK(Master!M11),"",Master!M11)</f>
        <v>x</v>
      </c>
      <c r="N11" s="20" t="str">
        <f>IF(ISBLANK(Master!N11),"",Master!N11)</f>
        <v/>
      </c>
      <c r="O11" s="20" t="str">
        <f>IF(ISBLANK(Master!O11),"",Master!O11)</f>
        <v/>
      </c>
      <c r="P11" s="20" t="str">
        <f>IF(ISBLANK(Master!P11),"",Master!P11)</f>
        <v>CT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>Cyr</v>
      </c>
      <c r="X11" s="19" t="str">
        <f>IF(ISBLANK(Master!Y11),"",Master!Y11)</f>
        <v>Griepentrog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Myers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Wed</v>
      </c>
      <c r="B12" s="20">
        <f>IF(ISBLANK(Master!B12),"",Master!B12)</f>
        <v>11</v>
      </c>
      <c r="C12" s="20" t="str">
        <f>IF(ISBLANK(Master!C12),"",Master!C12)</f>
        <v>SHY</v>
      </c>
      <c r="D12" s="20" t="str">
        <f>IF(ISBLANK(Master!D12),"",Master!D12)</f>
        <v>CT</v>
      </c>
      <c r="E12" s="20" t="str">
        <f>IF(ISBLANK(Master!E12),"",Master!E12)</f>
        <v/>
      </c>
      <c r="F12" s="20" t="str">
        <f>IF(ISBLANK(Master!F12),"",Master!F12)</f>
        <v/>
      </c>
      <c r="G12" s="20" t="str">
        <f>IF(ISBLANK(Master!G12),"",Master!G12)</f>
        <v>x</v>
      </c>
      <c r="H12" s="20" t="str">
        <f>IF(ISBLANK(Master!H12),"",Master!H12)</f>
        <v>Trauma</v>
      </c>
      <c r="I12" s="20" t="str">
        <f>IF(ISBLANK(Master!I12),"",Master!I12)</f>
        <v>x</v>
      </c>
      <c r="J12" s="20" t="str">
        <f>IF(ISBLANK(Master!J12),"",Master!J12)</f>
        <v>x</v>
      </c>
      <c r="K12" s="20" t="str">
        <f>IF(ISBLANK(Master!K12),"",Master!K12)</f>
        <v/>
      </c>
      <c r="L12" s="20" t="str">
        <f>IF(ISBLANK(Master!L12),"",Master!L12)</f>
        <v>x</v>
      </c>
      <c r="M12" s="20" t="str">
        <f>IF(ISBLANK(Master!M12),"",Master!M12)</f>
        <v>x</v>
      </c>
      <c r="N12" s="20" t="str">
        <f>IF(ISBLANK(Master!N12),"",Master!N12)</f>
        <v>x</v>
      </c>
      <c r="O12" s="20" t="str">
        <f>IF(ISBLANK(Master!O12),"",Master!O12)</f>
        <v/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Okolo</v>
      </c>
      <c r="X12" s="19" t="str">
        <f>IF(ISBLANK(Master!Y12),"",Master!Y12)</f>
        <v>Dyer</v>
      </c>
      <c r="Y12" s="19" t="str">
        <f>IF(ISBLANK(Master!Z12),"",Master!Z12)</f>
        <v/>
      </c>
      <c r="Z12" s="19" t="str">
        <f>IF(ISBLANK(Master!AA12),"",Master!AA12)</f>
        <v/>
      </c>
      <c r="AA12" s="19" t="str">
        <f>IF(ISBLANK(Master!AB12),"",Master!AB12)</f>
        <v>Van Der Windt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Thu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/>
      </c>
      <c r="E13" s="20" t="str">
        <f>IF(ISBLANK(Master!E13),"",Master!E13)</f>
        <v/>
      </c>
      <c r="F13" s="20" t="str">
        <f>IF(ISBLANK(Master!F13),"",Master!F13)</f>
        <v/>
      </c>
      <c r="G13" s="20" t="str">
        <f>IF(ISBLANK(Master!G13),"",Master!G13)</f>
        <v>x</v>
      </c>
      <c r="H13" s="20" t="str">
        <f>IF(ISBLANK(Master!H13),"",Master!H13)</f>
        <v/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/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SHY</v>
      </c>
      <c r="O13" s="20" t="str">
        <f>IF(ISBLANK(Master!O13),"",Master!O13)</f>
        <v/>
      </c>
      <c r="P13" s="20" t="str">
        <f>IF(ISBLANK(Master!P13),"",Master!P13)</f>
        <v>CHP Jr.</v>
      </c>
      <c r="Q13" s="20" t="str">
        <f>IF(ISBLANK(Master!Q13),"",Master!Q13)</f>
        <v/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x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>Huckaby</v>
      </c>
      <c r="Y13" s="19" t="str">
        <f>IF(ISBLANK(Master!Z13),"",Master!Z13)</f>
        <v/>
      </c>
      <c r="Z13" s="19" t="str">
        <f>IF(ISBLANK(Master!AA13),"",Master!AA13)</f>
        <v>Myers</v>
      </c>
      <c r="AA13" s="19" t="str">
        <f>IF(ISBLANK(Master!AB13),"",Master!AB13)</f>
        <v>NEEDS COVERAGE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Fri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x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/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/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x</v>
      </c>
      <c r="O14" s="20" t="str">
        <f>IF(ISBLANK(Master!O14),"",Master!O14)</f>
        <v/>
      </c>
      <c r="P14" s="20" t="str">
        <f>IF(ISBLANK(Master!P14),"",Master!P14)</f>
        <v/>
      </c>
      <c r="Q14" s="20" t="str">
        <f>IF(ISBLANK(Master!Q14),"",Master!Q14)</f>
        <v>Trauma</v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>Nicholson</v>
      </c>
      <c r="X14" s="19" t="str">
        <f>IF(ISBLANK(Master!Y14),"",Master!Y14)</f>
        <v/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NEEDS COVERAGE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Sat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>Trauma</v>
      </c>
      <c r="E15" s="20" t="str">
        <f>IF(ISBLANK(Master!E15),"",Master!E15)</f>
        <v>x</v>
      </c>
      <c r="F15" s="20" t="str">
        <f>IF(ISBLANK(Master!F15),"",Master!F15)</f>
        <v>x</v>
      </c>
      <c r="G15" s="20" t="str">
        <f>IF(ISBLANK(Master!G15),"",Master!G15)</f>
        <v>x</v>
      </c>
      <c r="H15" s="20" t="str">
        <f>IF(ISBLANK(Master!H15),"",Master!H15)</f>
        <v/>
      </c>
      <c r="I15" s="20" t="str">
        <f>IF(ISBLANK(Master!I15),"",Master!I15)</f>
        <v>x</v>
      </c>
      <c r="J15" s="20" t="str">
        <f>IF(ISBLANK(Master!J15),"",Master!J15)</f>
        <v>x</v>
      </c>
      <c r="K15" s="20" t="str">
        <f>IF(ISBLANK(Master!K15),"",Master!K15)</f>
        <v/>
      </c>
      <c r="L15" s="20" t="str">
        <f>IF(ISBLANK(Master!L15),"",Master!L15)</f>
        <v>x</v>
      </c>
      <c r="M15" s="20" t="str">
        <f>IF(ISBLANK(Master!M15),"",Master!M15)</f>
        <v>x</v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>x</v>
      </c>
      <c r="R15" s="20" t="str">
        <f>IF(ISBLANK(Master!R15),"",Master!R15)</f>
        <v>x</v>
      </c>
      <c r="S15" s="20" t="str">
        <f>IF(ISBLANK(Master!S15),"",Master!S15)</f>
        <v>CT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>Van Der Windt</v>
      </c>
      <c r="X15" s="19" t="str">
        <f>IF(ISBLANK(Master!Y15),"",Master!Y15)</f>
        <v/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Egro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Sun</v>
      </c>
      <c r="B16" s="20">
        <f>IF(ISBLANK(Master!B16),"",Master!B16)</f>
        <v>15</v>
      </c>
      <c r="C16" s="20" t="str">
        <f>IF(ISBLANK(Master!C16),"",Master!C16)</f>
        <v>CHP Sr.</v>
      </c>
      <c r="D16" s="20" t="str">
        <f>IF(ISBLANK(Master!D16),"",Master!D16)</f>
        <v/>
      </c>
      <c r="E16" s="20" t="str">
        <f>IF(ISBLANK(Master!E16),"",Master!E16)</f>
        <v>x</v>
      </c>
      <c r="F16" s="20" t="str">
        <f>IF(ISBLANK(Master!F16),"",Master!F16)</f>
        <v>x</v>
      </c>
      <c r="G16" s="20" t="str">
        <f>IF(ISBLANK(Master!G16),"",Master!G16)</f>
        <v>x</v>
      </c>
      <c r="H16" s="20" t="str">
        <f>IF(ISBLANK(Master!H16),"",Master!H16)</f>
        <v>SHY</v>
      </c>
      <c r="I16" s="20" t="str">
        <f>IF(ISBLANK(Master!I16),"",Master!I16)</f>
        <v>x</v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x</v>
      </c>
      <c r="M16" s="20" t="str">
        <f>IF(ISBLANK(Master!M16),"",Master!M16)</f>
        <v>x</v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/>
      </c>
      <c r="Q16" s="20" t="str">
        <f>IF(ISBLANK(Master!Q16),"",Master!Q16)</f>
        <v>x</v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/>
      </c>
      <c r="X16" s="19" t="str">
        <f>IF(ISBLANK(Master!Y16),"",Master!Y16)</f>
        <v>Okolo</v>
      </c>
      <c r="Y16" s="19" t="str">
        <f>IF(ISBLANK(Master!Z16),"",Master!Z16)</f>
        <v>Dyer</v>
      </c>
      <c r="Z16" s="19" t="str">
        <f>IF(ISBLANK(Master!AA16),"",Master!AA16)</f>
        <v/>
      </c>
      <c r="AA16" s="19" t="str">
        <f>IF(ISBLANK(Master!AB16),"",Master!AB16)</f>
        <v>NEEDS COVERAGE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Mon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/>
      </c>
      <c r="E17" s="20" t="str">
        <f>IF(ISBLANK(Master!E17),"",Master!E17)</f>
        <v>x</v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/>
      </c>
      <c r="I17" s="20" t="str">
        <f>IF(ISBLANK(Master!I17),"",Master!I17)</f>
        <v>x</v>
      </c>
      <c r="J17" s="20" t="str">
        <f>IF(ISBLANK(Master!J17),"",Master!J17)</f>
        <v>x</v>
      </c>
      <c r="K17" s="20" t="str">
        <f>IF(ISBLANK(Master!K17),"",Master!K17)</f>
        <v/>
      </c>
      <c r="L17" s="20" t="str">
        <f>IF(ISBLANK(Master!L17),"",Master!L17)</f>
        <v>x</v>
      </c>
      <c r="M17" s="20" t="str">
        <f>IF(ISBLANK(Master!M17),"",Master!M17)</f>
        <v>SHY</v>
      </c>
      <c r="N17" s="20" t="str">
        <f>IF(ISBLANK(Master!N17),"",Master!N17)</f>
        <v>x</v>
      </c>
      <c r="O17" s="20" t="str">
        <f>IF(ISBLANK(Master!O17),"",Master!O17)</f>
        <v>CHP Jr.</v>
      </c>
      <c r="P17" s="20" t="str">
        <f>IF(ISBLANK(Master!P17),"",Master!P17)</f>
        <v/>
      </c>
      <c r="Q17" s="20" t="str">
        <f>IF(ISBLANK(Master!Q17),"",Master!Q17)</f>
        <v>x</v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/>
      </c>
      <c r="X17" s="19" t="str">
        <f>IF(ISBLANK(Master!Y17),"",Master!Y17)</f>
        <v>Gallagher</v>
      </c>
      <c r="Y17" s="19" t="str">
        <f>IF(ISBLANK(Master!Z17),"",Master!Z17)</f>
        <v/>
      </c>
      <c r="Z17" s="19" t="str">
        <f>IF(ISBLANK(Master!AA17),"",Master!AA17)</f>
        <v>Kulkarni</v>
      </c>
      <c r="AA17" s="19" t="str">
        <f>IF(ISBLANK(Master!AB17),"",Master!AB17)</f>
        <v>NEEDS COVERAGE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Tue</v>
      </c>
      <c r="B18" s="20">
        <f>IF(ISBLANK(Master!B18),"",Master!B18)</f>
        <v>17</v>
      </c>
      <c r="C18" s="20" t="str">
        <f>IF(ISBLANK(Master!C18),"",Master!C18)</f>
        <v/>
      </c>
      <c r="D18" s="20" t="str">
        <f>IF(ISBLANK(Master!D18),"",Master!D18)</f>
        <v/>
      </c>
      <c r="E18" s="20" t="str">
        <f>IF(ISBLANK(Master!E18),"",Master!E18)</f>
        <v>SHY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>x</v>
      </c>
      <c r="J18" s="20" t="str">
        <f>IF(ISBLANK(Master!J18),"",Master!J18)</f>
        <v>x</v>
      </c>
      <c r="K18" s="20" t="str">
        <f>IF(ISBLANK(Master!K18),"",Master!K18)</f>
        <v/>
      </c>
      <c r="L18" s="20" t="str">
        <f>IF(ISBLANK(Master!L18),"",Master!L18)</f>
        <v>x</v>
      </c>
      <c r="M18" s="20" t="str">
        <f>IF(ISBLANK(Master!M18),"",Master!M18)</f>
        <v>x</v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>x</v>
      </c>
      <c r="Q18" s="20" t="str">
        <f>IF(ISBLANK(Master!Q18),"",Master!Q18)</f>
        <v>x</v>
      </c>
      <c r="R18" s="20" t="str">
        <f>IF(ISBLANK(Master!R18),"",Master!R18)</f>
        <v>x</v>
      </c>
      <c r="S18" s="20" t="str">
        <f>IF(ISBLANK(Master!S18),"",Master!S18)</f>
        <v>CT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Yeh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Egro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Wed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/>
      </c>
      <c r="F19" s="20" t="str">
        <f>IF(ISBLANK(Master!F19),"",Master!F19)</f>
        <v/>
      </c>
      <c r="G19" s="20" t="str">
        <f>IF(ISBLANK(Master!G19),"",Master!G19)</f>
        <v>x</v>
      </c>
      <c r="H19" s="20" t="str">
        <f>IF(ISBLANK(Master!H19),"",Master!H19)</f>
        <v>SHY</v>
      </c>
      <c r="I19" s="20" t="str">
        <f>IF(ISBLANK(Master!I19),"",Master!I19)</f>
        <v>x</v>
      </c>
      <c r="J19" s="20" t="str">
        <f>IF(ISBLANK(Master!J19),"",Master!J19)</f>
        <v>x</v>
      </c>
      <c r="K19" s="20" t="str">
        <f>IF(ISBLANK(Master!K19),"",Master!K19)</f>
        <v/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Trauma</v>
      </c>
      <c r="O19" s="20" t="str">
        <f>IF(ISBLANK(Master!O19),"",Master!O19)</f>
        <v/>
      </c>
      <c r="P19" s="20" t="str">
        <f>IF(ISBLANK(Master!P19),"",Master!P19)</f>
        <v>x</v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CT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>Huckaby</v>
      </c>
      <c r="X19" s="19" t="str">
        <f>IF(ISBLANK(Master!Y19),"",Master!Y19)</f>
        <v>Okolo</v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Egro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Thu</v>
      </c>
      <c r="B20" s="20">
        <f>IF(ISBLANK(Master!B20),"",Master!B20)</f>
        <v>19</v>
      </c>
      <c r="C20" s="20" t="str">
        <f>IF(ISBLANK(Master!C20),"",Master!C20)</f>
        <v>x</v>
      </c>
      <c r="D20" s="20" t="str">
        <f>IF(ISBLANK(Master!D20),"",Master!D20)</f>
        <v>SHY</v>
      </c>
      <c r="E20" s="20" t="str">
        <f>IF(ISBLANK(Master!E20),"",Master!E20)</f>
        <v/>
      </c>
      <c r="F20" s="20" t="str">
        <f>IF(ISBLANK(Master!F20),"",Master!F20)</f>
        <v>CHP Sr.</v>
      </c>
      <c r="G20" s="20" t="str">
        <f>IF(ISBLANK(Master!G20),"",Master!G20)</f>
        <v>x</v>
      </c>
      <c r="H20" s="20" t="str">
        <f>IF(ISBLANK(Master!H20),"",Master!H20)</f>
        <v/>
      </c>
      <c r="I20" s="20" t="str">
        <f>IF(ISBLANK(Master!I20),"",Master!I20)</f>
        <v>x</v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Trauma</v>
      </c>
      <c r="N20" s="20" t="str">
        <f>IF(ISBLANK(Master!N20),"",Master!N20)</f>
        <v/>
      </c>
      <c r="O20" s="20" t="str">
        <f>IF(ISBLANK(Master!O20),"",Master!O20)</f>
        <v/>
      </c>
      <c r="P20" s="20" t="str">
        <f>IF(ISBLANK(Master!P20),"",Master!P20)</f>
        <v>x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Gallagher</v>
      </c>
      <c r="X20" s="19" t="str">
        <f>IF(ISBLANK(Master!Y20),"",Master!Y20)</f>
        <v>Van Der Windt</v>
      </c>
      <c r="Y20" s="19" t="str">
        <f>IF(ISBLANK(Master!Z20),"",Master!Z20)</f>
        <v>Griepentrog</v>
      </c>
      <c r="Z20" s="19" t="str">
        <f>IF(ISBLANK(Master!AA20),"",Master!AA20)</f>
        <v/>
      </c>
      <c r="AA20" s="19" t="str">
        <f>IF(ISBLANK(Master!AB20),"",Master!AB20)</f>
        <v>NEEDS COVERAGE</v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Fri</v>
      </c>
      <c r="B21" s="20">
        <f>IF(ISBLANK(Master!B21),"",Master!B21)</f>
        <v>20</v>
      </c>
      <c r="C21" s="20" t="str">
        <f>IF(ISBLANK(Master!C21),"",Master!C21)</f>
        <v>x</v>
      </c>
      <c r="D21" s="20" t="str">
        <f>IF(ISBLANK(Master!D21),"",Master!D21)</f>
        <v/>
      </c>
      <c r="E21" s="20" t="str">
        <f>IF(ISBLANK(Master!E21),"",Master!E21)</f>
        <v>x</v>
      </c>
      <c r="F21" s="20" t="str">
        <f>IF(ISBLANK(Master!F21),"",Master!F21)</f>
        <v/>
      </c>
      <c r="G21" s="20" t="str">
        <f>IF(ISBLANK(Master!G21),"",Master!G21)</f>
        <v>x</v>
      </c>
      <c r="H21" s="20" t="str">
        <f>IF(ISBLANK(Master!H21),"",Master!H21)</f>
        <v>x</v>
      </c>
      <c r="I21" s="20" t="str">
        <f>IF(ISBLANK(Master!I21),"",Master!I21)</f>
        <v>x</v>
      </c>
      <c r="J21" s="20" t="str">
        <f>IF(ISBLANK(Master!J21),"",Master!J21)</f>
        <v>x</v>
      </c>
      <c r="K21" s="20" t="str">
        <f>IF(ISBLANK(Master!K21),"",Master!K21)</f>
        <v>x</v>
      </c>
      <c r="L21" s="20" t="str">
        <f>IF(ISBLANK(Master!L21),"",Master!L21)</f>
        <v>CHP Jr.</v>
      </c>
      <c r="M21" s="20" t="str">
        <f>IF(ISBLANK(Master!M21),"",Master!M21)</f>
        <v/>
      </c>
      <c r="N21" s="20" t="str">
        <f>IF(ISBLANK(Master!N21),"",Master!N21)</f>
        <v/>
      </c>
      <c r="O21" s="20" t="str">
        <f>IF(ISBLANK(Master!O21),"",Master!O21)</f>
        <v/>
      </c>
      <c r="P21" s="20" t="str">
        <f>IF(ISBLANK(Master!P21),"",Master!P21)</f>
        <v>x</v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/>
      </c>
      <c r="Y21" s="19" t="str">
        <f>IF(ISBLANK(Master!Z21),"",Master!Z21)</f>
        <v/>
      </c>
      <c r="Z21" s="19" t="str">
        <f>IF(ISBLANK(Master!AA21),"",Master!AA21)</f>
        <v>Dadashzadeh</v>
      </c>
      <c r="AA21" s="19" t="str">
        <f>IF(ISBLANK(Master!AB21),"",Master!AB21)</f>
        <v>NEEDS COVERAGE</v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Sat</v>
      </c>
      <c r="B22" s="20">
        <f>IF(ISBLANK(Master!B22),"",Master!B22)</f>
        <v>21</v>
      </c>
      <c r="C22" s="20" t="str">
        <f>IF(ISBLANK(Master!C22),"",Master!C22)</f>
        <v>Trauma</v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x</v>
      </c>
      <c r="H22" s="20" t="str">
        <f>IF(ISBLANK(Master!H22),"",Master!H22)</f>
        <v>x</v>
      </c>
      <c r="I22" s="20" t="str">
        <f>IF(ISBLANK(Master!I22),"",Master!I22)</f>
        <v>x</v>
      </c>
      <c r="J22" s="20" t="str">
        <f>IF(ISBLANK(Master!J22),"",Master!J22)</f>
        <v>x</v>
      </c>
      <c r="K22" s="20" t="str">
        <f>IF(ISBLANK(Master!K22),"",Master!K22)</f>
        <v>x</v>
      </c>
      <c r="L22" s="20" t="str">
        <f>IF(ISBLANK(Master!L22),"",Master!L22)</f>
        <v/>
      </c>
      <c r="M22" s="20" t="str">
        <f>IF(ISBLANK(Master!M22),"",Master!M22)</f>
        <v>x</v>
      </c>
      <c r="N22" s="20" t="str">
        <f>IF(ISBLANK(Master!N22),"",Master!N22)</f>
        <v/>
      </c>
      <c r="O22" s="20" t="str">
        <f>IF(ISBLANK(Master!O22),"",Master!O22)</f>
        <v/>
      </c>
      <c r="P22" s="20" t="str">
        <f>IF(ISBLANK(Master!P22),"",Master!P22)</f>
        <v>x</v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>Dyer</v>
      </c>
      <c r="X22" s="19" t="str">
        <f>IF(ISBLANK(Master!Y22),"",Master!Y22)</f>
        <v/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NEEDS COVERAGE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Sun</v>
      </c>
      <c r="B23" s="20">
        <f>IF(ISBLANK(Master!B23),"",Master!B23)</f>
        <v>22</v>
      </c>
      <c r="C23" s="20" t="str">
        <f>IF(ISBLANK(Master!C23),"",Master!C23)</f>
        <v>x</v>
      </c>
      <c r="D23" s="20" t="str">
        <f>IF(ISBLANK(Master!D23),"",Master!D23)</f>
        <v/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>x</v>
      </c>
      <c r="H23" s="20" t="str">
        <f>IF(ISBLANK(Master!H23),"",Master!H23)</f>
        <v/>
      </c>
      <c r="I23" s="20" t="str">
        <f>IF(ISBLANK(Master!I23),"",Master!I23)</f>
        <v>x</v>
      </c>
      <c r="J23" s="20" t="str">
        <f>IF(ISBLANK(Master!J23),"",Master!J23)</f>
        <v>x</v>
      </c>
      <c r="K23" s="20" t="str">
        <f>IF(ISBLANK(Master!K23),"",Master!K23)</f>
        <v>Trauma</v>
      </c>
      <c r="L23" s="20" t="str">
        <f>IF(ISBLANK(Master!L23),"",Master!L23)</f>
        <v/>
      </c>
      <c r="M23" s="20" t="str">
        <f>IF(ISBLANK(Master!M23),"",Master!M23)</f>
        <v>x</v>
      </c>
      <c r="N23" s="20" t="str">
        <f>IF(ISBLANK(Master!N23),"",Master!N23)</f>
        <v>CHP Jr.</v>
      </c>
      <c r="O23" s="20" t="str">
        <f>IF(ISBLANK(Master!O23),"",Master!O23)</f>
        <v>SHY</v>
      </c>
      <c r="P23" s="20" t="str">
        <f>IF(ISBLANK(Master!P23),"",Master!P23)</f>
        <v>x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>Cyr</v>
      </c>
      <c r="X23" s="19" t="str">
        <f>IF(ISBLANK(Master!Y23),"",Master!Y23)</f>
        <v>Kulkarni</v>
      </c>
      <c r="Y23" s="19" t="str">
        <f>IF(ISBLANK(Master!Z23),"",Master!Z23)</f>
        <v/>
      </c>
      <c r="Z23" s="19" t="str">
        <f>IF(ISBLANK(Master!AA23),"",Master!AA23)</f>
        <v>Huckaby</v>
      </c>
      <c r="AA23" s="19" t="str">
        <f>IF(ISBLANK(Master!AB23),"",Master!AB23)</f>
        <v>NEEDS COVERAGE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Mon</v>
      </c>
      <c r="B24" s="20">
        <f>IF(ISBLANK(Master!B24),"",Master!B24)</f>
        <v>23</v>
      </c>
      <c r="C24" s="20" t="str">
        <f>IF(ISBLANK(Master!C24),"",Master!C24)</f>
        <v>x</v>
      </c>
      <c r="D24" s="20" t="str">
        <f>IF(ISBLANK(Master!D24),"",Master!D24)</f>
        <v>CHP Sr.</v>
      </c>
      <c r="E24" s="20" t="str">
        <f>IF(ISBLANK(Master!E24),"",Master!E24)</f>
        <v>SHY</v>
      </c>
      <c r="F24" s="20" t="str">
        <f>IF(ISBLANK(Master!F24),"",Master!F24)</f>
        <v>x</v>
      </c>
      <c r="G24" s="20" t="str">
        <f>IF(ISBLANK(Master!G24),"",Master!G24)</f>
        <v>CT</v>
      </c>
      <c r="H24" s="20" t="str">
        <f>IF(ISBLANK(Master!H24),"",Master!H24)</f>
        <v/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/>
      </c>
      <c r="L24" s="20" t="str">
        <f>IF(ISBLANK(Master!L24),"",Master!L24)</f>
        <v/>
      </c>
      <c r="M24" s="20" t="str">
        <f>IF(ISBLANK(Master!M24),"",Master!M24)</f>
        <v>x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/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/>
      </c>
      <c r="X24" s="19" t="str">
        <f>IF(ISBLANK(Master!Y24),"",Master!Y24)</f>
        <v>Yeh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Handzel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Tue</v>
      </c>
      <c r="B25" s="20">
        <f>IF(ISBLANK(Master!B25),"",Master!B25)</f>
        <v>24</v>
      </c>
      <c r="C25" s="20" t="str">
        <f>IF(ISBLANK(Master!C25),"",Master!C25)</f>
        <v>x</v>
      </c>
      <c r="D25" s="20" t="str">
        <f>IF(ISBLANK(Master!D25),"",Master!D25)</f>
        <v/>
      </c>
      <c r="E25" s="20" t="str">
        <f>IF(ISBLANK(Master!E25),"",Master!E25)</f>
        <v>x</v>
      </c>
      <c r="F25" s="20" t="str">
        <f>IF(ISBLANK(Master!F25),"",Master!F25)</f>
        <v>x</v>
      </c>
      <c r="G25" s="20" t="str">
        <f>IF(ISBLANK(Master!G25),"",Master!G25)</f>
        <v/>
      </c>
      <c r="H25" s="20" t="str">
        <f>IF(ISBLANK(Master!H25),"",Master!H25)</f>
        <v>CHP Sr.</v>
      </c>
      <c r="I25" s="20" t="str">
        <f>IF(ISBLANK(Master!I25),"",Master!I25)</f>
        <v/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>SHY</v>
      </c>
      <c r="M25" s="20" t="str">
        <f>IF(ISBLANK(Master!M25),"",Master!M25)</f>
        <v>x</v>
      </c>
      <c r="N25" s="20" t="str">
        <f>IF(ISBLANK(Master!N25),"",Master!N25)</f>
        <v/>
      </c>
      <c r="O25" s="20" t="str">
        <f>IF(ISBLANK(Master!O25),"",Master!O25)</f>
        <v/>
      </c>
      <c r="P25" s="20" t="str">
        <f>IF(ISBLANK(Master!P25),"",Master!P25)</f>
        <v>Trauma</v>
      </c>
      <c r="Q25" s="20" t="str">
        <f>IF(ISBLANK(Master!Q25),"",Master!Q25)</f>
        <v/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>Myers</v>
      </c>
      <c r="X25" s="19" t="str">
        <f>IF(ISBLANK(Master!Y25),"",Master!Y25)</f>
        <v>Dadashzadeh</v>
      </c>
      <c r="Y25" s="19" t="str">
        <f>IF(ISBLANK(Master!Z25),"",Master!Z25)</f>
        <v>Okolo</v>
      </c>
      <c r="Z25" s="19" t="str">
        <f>IF(ISBLANK(Master!AA25),"",Master!AA25)</f>
        <v/>
      </c>
      <c r="AA25" s="19" t="str">
        <f>IF(ISBLANK(Master!AB25),"",Master!AB25)</f>
        <v>NEEDS COVERAGE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Wed</v>
      </c>
      <c r="B26" s="20">
        <f>IF(ISBLANK(Master!B26),"",Master!B26)</f>
        <v>25</v>
      </c>
      <c r="C26" s="20" t="str">
        <f>IF(ISBLANK(Master!C26),"",Master!C26)</f>
        <v>x</v>
      </c>
      <c r="D26" s="20" t="str">
        <f>IF(ISBLANK(Master!D26),"",Master!D26)</f>
        <v/>
      </c>
      <c r="E26" s="20" t="str">
        <f>IF(ISBLANK(Master!E26),"",Master!E26)</f>
        <v>x</v>
      </c>
      <c r="F26" s="20" t="str">
        <f>IF(ISBLANK(Master!F26),"",Master!F26)</f>
        <v>x</v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/>
      </c>
      <c r="J26" s="20" t="str">
        <f>IF(ISBLANK(Master!J26),"",Master!J26)</f>
        <v>CT</v>
      </c>
      <c r="K26" s="20" t="str">
        <f>IF(ISBLANK(Master!K26),"",Master!K26)</f>
        <v>SHY</v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/>
      </c>
      <c r="O26" s="20" t="str">
        <f>IF(ISBLANK(Master!O26),"",Master!O26)</f>
        <v/>
      </c>
      <c r="P26" s="20" t="str">
        <f>IF(ISBLANK(Master!P26),"",Master!P26)</f>
        <v/>
      </c>
      <c r="Q26" s="20" t="str">
        <f>IF(ISBLANK(Master!Q26),"",Master!Q26)</f>
        <v>CHP Jr.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>Cyr</v>
      </c>
      <c r="Y26" s="19" t="str">
        <f>IF(ISBLANK(Master!Z26),"",Master!Z26)</f>
        <v/>
      </c>
      <c r="Z26" s="19" t="str">
        <f>IF(ISBLANK(Master!AA26),"",Master!AA26)</f>
        <v>Nicholson</v>
      </c>
      <c r="AA26" s="19" t="str">
        <f>IF(ISBLANK(Master!AB26),"",Master!AB26)</f>
        <v>Tam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Thu</v>
      </c>
      <c r="B27" s="20">
        <f>IF(ISBLANK(Master!B27),"",Master!B27)</f>
        <v>26</v>
      </c>
      <c r="C27" s="20" t="str">
        <f>IF(ISBLANK(Master!C27),"",Master!C27)</f>
        <v>x</v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>x</v>
      </c>
      <c r="G27" s="20" t="str">
        <f>IF(ISBLANK(Master!G27),"",Master!G27)</f>
        <v>Trauma</v>
      </c>
      <c r="H27" s="20" t="str">
        <f>IF(ISBLANK(Master!H27),"",Master!H27)</f>
        <v>x</v>
      </c>
      <c r="I27" s="20" t="str">
        <f>IF(ISBLANK(Master!I27),"",Master!I27)</f>
        <v>CHP Sr.</v>
      </c>
      <c r="J27" s="20" t="str">
        <f>IF(ISBLANK(Master!J27),"",Master!J27)</f>
        <v>SHY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/>
      </c>
      <c r="O27" s="20" t="str">
        <f>IF(ISBLANK(Master!O27),"",Master!O27)</f>
        <v/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Handzel</v>
      </c>
      <c r="X27" s="19" t="str">
        <f>IF(ISBLANK(Master!Y27),"",Master!Y27)</f>
        <v>Tam</v>
      </c>
      <c r="Y27" s="19" t="str">
        <f>IF(ISBLANK(Master!Z27),"",Master!Z27)</f>
        <v>Siow</v>
      </c>
      <c r="Z27" s="19" t="str">
        <f>IF(ISBLANK(Master!AA27),"",Master!AA27)</f>
        <v/>
      </c>
      <c r="AA27" s="19" t="str">
        <f>IF(ISBLANK(Master!AB27),"",Master!AB27)</f>
        <v>NEEDS COVERAGE</v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Fri</v>
      </c>
      <c r="B28" s="20">
        <f>IF(ISBLANK(Master!B28),"",Master!B28)</f>
        <v>27</v>
      </c>
      <c r="C28" s="20" t="str">
        <f>IF(ISBLANK(Master!C28),"",Master!C28)</f>
        <v>x</v>
      </c>
      <c r="D28" s="20" t="str">
        <f>IF(ISBLANK(Master!D28),"",Master!D28)</f>
        <v>x</v>
      </c>
      <c r="E28" s="20" t="str">
        <f>IF(ISBLANK(Master!E28),"",Master!E28)</f>
        <v>x</v>
      </c>
      <c r="F28" s="20" t="str">
        <f>IF(ISBLANK(Master!F28),"",Master!F28)</f>
        <v>x</v>
      </c>
      <c r="G28" s="20" t="str">
        <f>IF(ISBLANK(Master!G28),"",Master!G28)</f>
        <v/>
      </c>
      <c r="H28" s="20" t="str">
        <f>IF(ISBLANK(Master!H28),"",Master!H28)</f>
        <v>x</v>
      </c>
      <c r="I28" s="20" t="str">
        <f>IF(ISBLANK(Master!I28),"",Master!I28)</f>
        <v>CT</v>
      </c>
      <c r="J28" s="20" t="str">
        <f>IF(ISBLANK(Master!J28),"",Master!J28)</f>
        <v/>
      </c>
      <c r="K28" s="20" t="str">
        <f>IF(ISBLANK(Master!K28),"",Master!K28)</f>
        <v>x</v>
      </c>
      <c r="L28" s="20" t="str">
        <f>IF(ISBLANK(Master!L28),"",Master!L28)</f>
        <v/>
      </c>
      <c r="M28" s="20" t="str">
        <f>IF(ISBLANK(Master!M28),"",Master!M28)</f>
        <v>Trauma</v>
      </c>
      <c r="N28" s="20" t="str">
        <f>IF(ISBLANK(Master!N28),"",Master!N28)</f>
        <v>x</v>
      </c>
      <c r="O28" s="20" t="str">
        <f>IF(ISBLANK(Master!O28),"",Master!O28)</f>
        <v>CHP Jr.</v>
      </c>
      <c r="P28" s="20" t="str">
        <f>IF(ISBLANK(Master!P28),"",Master!P28)</f>
        <v/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>Gallagher</v>
      </c>
      <c r="X28" s="19" t="str">
        <f>IF(ISBLANK(Master!Y28),"",Master!Y28)</f>
        <v/>
      </c>
      <c r="Y28" s="19" t="str">
        <f>IF(ISBLANK(Master!Z28),"",Master!Z28)</f>
        <v/>
      </c>
      <c r="Z28" s="19" t="str">
        <f>IF(ISBLANK(Master!AA28),"",Master!AA28)</f>
        <v>Kulkarni</v>
      </c>
      <c r="AA28" s="19" t="str">
        <f>IF(ISBLANK(Master!AB28),"",Master!AB28)</f>
        <v>Siow</v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Sat</v>
      </c>
      <c r="B29" s="20">
        <f>IF(ISBLANK(Master!B29),"",Master!B29)</f>
        <v>28</v>
      </c>
      <c r="C29" s="20" t="str">
        <f>IF(ISBLANK(Master!C29),"",Master!C29)</f>
        <v>x</v>
      </c>
      <c r="D29" s="20" t="str">
        <f>IF(ISBLANK(Master!D29),"",Master!D29)</f>
        <v>x</v>
      </c>
      <c r="E29" s="20" t="str">
        <f>IF(ISBLANK(Master!E29),"",Master!E29)</f>
        <v>x</v>
      </c>
      <c r="F29" s="20" t="str">
        <f>IF(ISBLANK(Master!F29),"",Master!F29)</f>
        <v>x</v>
      </c>
      <c r="G29" s="20" t="str">
        <f>IF(ISBLANK(Master!G29),"",Master!G29)</f>
        <v/>
      </c>
      <c r="H29" s="20" t="str">
        <f>IF(ISBLANK(Master!H29),"",Master!H29)</f>
        <v>x</v>
      </c>
      <c r="I29" s="20" t="str">
        <f>IF(ISBLANK(Master!I29),"",Master!I29)</f>
        <v>Trauma</v>
      </c>
      <c r="J29" s="20" t="str">
        <f>IF(ISBLANK(Master!J29),"",Master!J29)</f>
        <v/>
      </c>
      <c r="K29" s="20" t="str">
        <f>IF(ISBLANK(Master!K29),"",Master!K29)</f>
        <v>x</v>
      </c>
      <c r="L29" s="20" t="str">
        <f>IF(ISBLANK(Master!L29),"",Master!L29)</f>
        <v/>
      </c>
      <c r="M29" s="20" t="str">
        <f>IF(ISBLANK(Master!M29),"",Master!M29)</f>
        <v/>
      </c>
      <c r="N29" s="20" t="str">
        <f>IF(ISBLANK(Master!N29),"",Master!N29)</f>
        <v>x</v>
      </c>
      <c r="O29" s="20" t="str">
        <f>IF(ISBLANK(Master!O29),"",Master!O29)</f>
        <v/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>Siow</v>
      </c>
      <c r="X29" s="19" t="str">
        <f>IF(ISBLANK(Master!Y29),"",Master!Y29)</f>
        <v/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>NEEDS COVERAGE</v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Sun</v>
      </c>
      <c r="B30" s="20">
        <f>IF(ISBLANK(Master!B30),"",Master!B30)</f>
        <v>29</v>
      </c>
      <c r="C30" s="20" t="str">
        <f>IF(ISBLANK(Master!C30),"",Master!C30)</f>
        <v/>
      </c>
      <c r="D30" s="20" t="str">
        <f>IF(ISBLANK(Master!D30),"",Master!D30)</f>
        <v/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/>
      </c>
      <c r="H30" s="20" t="str">
        <f>IF(ISBLANK(Master!H30),"",Master!H30)</f>
        <v>x</v>
      </c>
      <c r="I30" s="20" t="str">
        <f>IF(ISBLANK(Master!I30),"",Master!I30)</f>
        <v/>
      </c>
      <c r="J30" s="20" t="str">
        <f>IF(ISBLANK(Master!J30),"",Master!J30)</f>
        <v>CT</v>
      </c>
      <c r="K30" s="20" t="str">
        <f>IF(ISBLANK(Master!K30),"",Master!K30)</f>
        <v>x</v>
      </c>
      <c r="L30" s="20" t="str">
        <f>IF(ISBLANK(Master!L30),"",Master!L30)</f>
        <v/>
      </c>
      <c r="M30" s="20" t="str">
        <f>IF(ISBLANK(Master!M30),"",Master!M30)</f>
        <v>SHY</v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/>
      </c>
      <c r="X30" s="19" t="str">
        <f>IF(ISBLANK(Master!Y30),"",Master!Y30)</f>
        <v>Gallagher</v>
      </c>
      <c r="Y30" s="19" t="str">
        <f>IF(ISBLANK(Master!Z30),"",Master!Z30)</f>
        <v/>
      </c>
      <c r="Z30" s="19" t="str">
        <f>IF(ISBLANK(Master!AA30),"",Master!AA30)</f>
        <v/>
      </c>
      <c r="AA30" s="19" t="str">
        <f>IF(ISBLANK(Master!AB30),"",Master!AB30)</f>
        <v>Tam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Mon</v>
      </c>
      <c r="B31" s="20">
        <f>IF(ISBLANK(Master!B31),"",Master!B31)</f>
        <v>30</v>
      </c>
      <c r="C31" s="20" t="str">
        <f>IF(ISBLANK(Master!C31),"",Master!C31)</f>
        <v/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>CT</v>
      </c>
      <c r="H31" s="20" t="str">
        <f>IF(ISBLANK(Master!H31),"",Master!H31)</f>
        <v>x</v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x</v>
      </c>
      <c r="L31" s="20" t="str">
        <f>IF(ISBLANK(Master!L31),"",Master!L31)</f>
        <v>Trauma</v>
      </c>
      <c r="M31" s="20" t="str">
        <f>IF(ISBLANK(Master!M31),"",Master!M31)</f>
        <v/>
      </c>
      <c r="N31" s="20" t="str">
        <f>IF(ISBLANK(Master!N31),"",Master!N31)</f>
        <v>x</v>
      </c>
      <c r="O31" s="20" t="str">
        <f>IF(ISBLANK(Master!O31),"",Master!O31)</f>
        <v/>
      </c>
      <c r="P31" s="20" t="str">
        <f>IF(ISBLANK(Master!P31),"",Master!P31)</f>
        <v>SHY</v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>Dadashzadeh</v>
      </c>
      <c r="X31" s="19" t="str">
        <f>IF(ISBLANK(Master!Y31),"",Master!Y31)</f>
        <v>Myers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Handzel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/>
      </c>
      <c r="B32" s="20" t="str">
        <f>IF(ISBLANK(Master!B32),"",Master!B32)</f>
        <v/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/>
      </c>
      <c r="F32" s="20" t="str">
        <f>IF(ISBLANK(Master!F32),"",Master!F32)</f>
        <v/>
      </c>
      <c r="G32" s="20" t="str">
        <f>IF(ISBLANK(Master!G32),"",Master!G32)</f>
        <v/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/>
      </c>
      <c r="L32" s="20" t="str">
        <f>IF(ISBLANK(Master!L32),"",Master!L32)</f>
        <v/>
      </c>
      <c r="M32" s="20" t="str">
        <f>IF(ISBLANK(Master!M32),"",Master!M32)</f>
        <v/>
      </c>
      <c r="N32" s="20" t="str">
        <f>IF(ISBLANK(Master!N32),"",Master!N32)</f>
        <v/>
      </c>
      <c r="O32" s="20" t="str">
        <f>IF(ISBLANK(Master!O32),"",Master!O32)</f>
        <v/>
      </c>
      <c r="P32" s="20" t="str">
        <f>IF(ISBLANK(Master!P32),"",Master!P32)</f>
        <v/>
      </c>
      <c r="Q32" s="20" t="str">
        <f>IF(ISBLANK(Master!Q32),"",Master!Q32)</f>
        <v/>
      </c>
      <c r="R32" s="20" t="str">
        <f>IF(ISBLANK(Master!R32),"",Master!R32)</f>
        <v/>
      </c>
      <c r="S32" s="20" t="str">
        <f>IF(ISBLANK(Master!S32),"",Master!S32)</f>
        <v/>
      </c>
      <c r="T32" s="20" t="str">
        <f>IF(ISBLANK(Master!T32),"",Master!T32)</f>
        <v/>
      </c>
      <c r="U32" s="20" t="str">
        <f>IF(ISBLANK(Master!U32),"",Master!U32)</f>
        <v/>
      </c>
      <c r="W32" s="19" t="str">
        <f>IF(ISBLANK(Master!X32),"",Master!X32)</f>
        <v/>
      </c>
      <c r="X32" s="19" t="str">
        <f>IF(ISBLANK(Master!Y32),"",Master!Y32)</f>
        <v/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/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4-5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4</v>
      </c>
      <c r="P34" s="20" t="str">
        <f>IF(ISBLANK(Master!P34),"",Master!P34)</f>
        <v>4-5</v>
      </c>
      <c r="Q34" s="20" t="str">
        <f>IF(ISBLANK(Master!Q34),"",Master!Q34)</f>
        <v>4</v>
      </c>
      <c r="R34" s="20" t="str">
        <f>IF(ISBLANK(Master!R34),"",Master!R34)</f>
        <v>0</v>
      </c>
      <c r="S34" s="20" t="str">
        <f>IF(ISBLANK(Master!S34),"",Master!S34)</f>
        <v>6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4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5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4</v>
      </c>
      <c r="P35" s="20">
        <f>IF(ISBLANK(Master!P35),"",Master!P35)</f>
        <v>5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6</v>
      </c>
      <c r="T35" s="20">
        <f>IF(ISBLANK(Master!T35),"",Master!T35)</f>
        <v>0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14" sqref="Q1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6" width="7.84375" style="3" customWidth="1"/>
    <col min="17" max="17" width="7.84375" style="5" customWidth="1"/>
    <col min="18" max="20" width="7.84375" style="3" customWidth="1"/>
    <col min="21" max="22" width="8.15234375" style="3" customWidth="1"/>
    <col min="23" max="23" width="4.07421875" style="3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2" hidden="1" customWidth="1"/>
    <col min="40" max="40" width="7.4609375" style="1" customWidth="1"/>
    <col min="41" max="41" width="19.3828125" style="3" customWidth="1"/>
    <col min="42" max="16384" width="8.84375" style="3"/>
  </cols>
  <sheetData>
    <row r="1" spans="1:41" x14ac:dyDescent="0.4">
      <c r="A1" s="26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2" t="s">
        <v>37</v>
      </c>
      <c r="R1" s="1" t="s">
        <v>38</v>
      </c>
      <c r="S1" s="18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59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4" t="s">
        <v>48</v>
      </c>
      <c r="AN1" s="1" t="s">
        <v>59</v>
      </c>
    </row>
    <row r="2" spans="1:41" x14ac:dyDescent="0.4">
      <c r="A2" s="1" t="s">
        <v>7</v>
      </c>
      <c r="B2" s="9">
        <v>1</v>
      </c>
      <c r="C2" s="1"/>
      <c r="D2" s="1" t="s">
        <v>2</v>
      </c>
      <c r="E2" s="1" t="s">
        <v>39</v>
      </c>
      <c r="F2" s="1" t="s">
        <v>39</v>
      </c>
      <c r="G2" s="1"/>
      <c r="H2" s="1" t="s">
        <v>39</v>
      </c>
      <c r="I2" s="1" t="s">
        <v>39</v>
      </c>
      <c r="J2" s="1"/>
      <c r="K2" s="1" t="s">
        <v>39</v>
      </c>
      <c r="L2" s="1" t="s">
        <v>23</v>
      </c>
      <c r="M2" s="1" t="s">
        <v>39</v>
      </c>
      <c r="N2" s="1" t="s">
        <v>39</v>
      </c>
      <c r="O2" s="1" t="s">
        <v>39</v>
      </c>
      <c r="P2" s="1"/>
      <c r="Q2" s="2">
        <v>1</v>
      </c>
      <c r="R2" s="1" t="s">
        <v>39</v>
      </c>
      <c r="S2" s="1"/>
      <c r="T2" s="1" t="s">
        <v>39</v>
      </c>
      <c r="U2" s="1" t="s">
        <v>39</v>
      </c>
      <c r="V2" s="1" t="s">
        <v>39</v>
      </c>
      <c r="W2" s="3" t="s">
        <v>64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Van Der Windt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Dadashzadeh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7"/>
      <c r="AG2" s="1" t="s">
        <v>39</v>
      </c>
      <c r="AH2" s="1" t="s">
        <v>39</v>
      </c>
      <c r="AI2" s="1"/>
      <c r="AJ2" s="1"/>
      <c r="AK2" s="1" t="s">
        <v>39</v>
      </c>
      <c r="AM2" s="23"/>
      <c r="AN2" s="28"/>
      <c r="AO2" s="14"/>
    </row>
    <row r="3" spans="1:41" x14ac:dyDescent="0.4">
      <c r="A3" s="1" t="s">
        <v>8</v>
      </c>
      <c r="B3" s="9">
        <v>2</v>
      </c>
      <c r="C3" s="1"/>
      <c r="D3" s="1"/>
      <c r="E3" s="1"/>
      <c r="F3" s="1"/>
      <c r="G3" s="1" t="s">
        <v>39</v>
      </c>
      <c r="H3" s="1" t="s">
        <v>39</v>
      </c>
      <c r="I3" s="1" t="s">
        <v>23</v>
      </c>
      <c r="J3" s="1" t="s">
        <v>3</v>
      </c>
      <c r="K3" s="1" t="s">
        <v>39</v>
      </c>
      <c r="L3" s="1"/>
      <c r="M3" s="1"/>
      <c r="N3" s="1" t="s">
        <v>39</v>
      </c>
      <c r="O3" s="1"/>
      <c r="P3" s="1" t="s">
        <v>59</v>
      </c>
      <c r="Q3" s="2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65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Siow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Myers</v>
      </c>
      <c r="AF3" s="27"/>
      <c r="AG3" s="1" t="s">
        <v>39</v>
      </c>
      <c r="AH3" s="1" t="s">
        <v>39</v>
      </c>
      <c r="AI3" s="1"/>
      <c r="AJ3" s="1"/>
      <c r="AK3" s="1" t="s">
        <v>39</v>
      </c>
      <c r="AM3" s="23"/>
      <c r="AN3" s="29" t="s">
        <v>39</v>
      </c>
      <c r="AO3" s="14"/>
    </row>
    <row r="4" spans="1:41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/>
      <c r="M4" s="1" t="s">
        <v>39</v>
      </c>
      <c r="N4" s="1"/>
      <c r="O4" s="1"/>
      <c r="P4" s="1"/>
      <c r="Q4" s="2"/>
      <c r="R4" s="1" t="s">
        <v>39</v>
      </c>
      <c r="S4" s="1" t="s">
        <v>3</v>
      </c>
      <c r="T4" s="1" t="s">
        <v>39</v>
      </c>
      <c r="U4" s="1" t="s">
        <v>39</v>
      </c>
      <c r="V4" s="1" t="s">
        <v>39</v>
      </c>
      <c r="W4" s="3" t="s">
        <v>66</v>
      </c>
      <c r="X4" s="1" t="str">
        <f t="shared" si="2"/>
        <v>Dyer</v>
      </c>
      <c r="Y4" s="1" t="str">
        <f t="shared" si="3"/>
        <v>Yeh</v>
      </c>
      <c r="Z4" s="1" t="str">
        <f t="shared" si="4"/>
        <v/>
      </c>
      <c r="AA4" s="1" t="str">
        <f t="shared" si="5"/>
        <v/>
      </c>
      <c r="AB4" s="1" t="str">
        <f t="shared" si="6"/>
        <v>Egro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7"/>
      <c r="AG4" s="1" t="s">
        <v>39</v>
      </c>
      <c r="AH4" s="1" t="s">
        <v>39</v>
      </c>
      <c r="AI4" s="1"/>
      <c r="AJ4" s="1"/>
      <c r="AK4" s="1" t="s">
        <v>39</v>
      </c>
      <c r="AM4" s="23"/>
      <c r="AN4" s="30"/>
      <c r="AO4" s="14"/>
    </row>
    <row r="5" spans="1:41" x14ac:dyDescent="0.4">
      <c r="A5" s="1" t="s">
        <v>4</v>
      </c>
      <c r="B5" s="9">
        <v>4</v>
      </c>
      <c r="C5" s="1"/>
      <c r="D5" s="1" t="s">
        <v>39</v>
      </c>
      <c r="E5" s="1"/>
      <c r="F5" s="1" t="s">
        <v>2</v>
      </c>
      <c r="G5" s="1" t="s">
        <v>23</v>
      </c>
      <c r="H5" s="1"/>
      <c r="I5" s="1" t="s">
        <v>3</v>
      </c>
      <c r="J5" s="1" t="s">
        <v>39</v>
      </c>
      <c r="K5" s="1" t="s">
        <v>39</v>
      </c>
      <c r="L5" s="1"/>
      <c r="M5" s="1"/>
      <c r="N5" s="1" t="s">
        <v>39</v>
      </c>
      <c r="O5" s="1"/>
      <c r="P5" s="1" t="s">
        <v>39</v>
      </c>
      <c r="Q5" s="2"/>
      <c r="R5" s="1" t="s">
        <v>39</v>
      </c>
      <c r="S5" s="1"/>
      <c r="T5" s="1" t="s">
        <v>39</v>
      </c>
      <c r="U5" s="1" t="s">
        <v>39</v>
      </c>
      <c r="V5" s="1" t="s">
        <v>39</v>
      </c>
      <c r="W5" s="3" t="s">
        <v>67</v>
      </c>
      <c r="X5" s="1" t="str">
        <f t="shared" si="2"/>
        <v>Griepentrog</v>
      </c>
      <c r="Y5" s="1" t="str">
        <f t="shared" si="3"/>
        <v>Handzel</v>
      </c>
      <c r="Z5" s="1" t="str">
        <f t="shared" si="4"/>
        <v/>
      </c>
      <c r="AA5" s="1" t="str">
        <f t="shared" si="5"/>
        <v/>
      </c>
      <c r="AB5" s="1" t="str">
        <f t="shared" si="6"/>
        <v>Siow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7"/>
      <c r="AG5" s="1" t="s">
        <v>39</v>
      </c>
      <c r="AH5" s="1" t="s">
        <v>39</v>
      </c>
      <c r="AI5" s="1"/>
      <c r="AJ5" s="1"/>
      <c r="AK5" s="1" t="s">
        <v>39</v>
      </c>
      <c r="AM5" s="23"/>
      <c r="AN5" s="31"/>
      <c r="AO5" s="14"/>
    </row>
    <row r="6" spans="1:41" x14ac:dyDescent="0.4">
      <c r="A6" s="1" t="s">
        <v>10</v>
      </c>
      <c r="B6" s="9">
        <v>5</v>
      </c>
      <c r="C6" s="1"/>
      <c r="D6" s="1"/>
      <c r="E6" s="1"/>
      <c r="F6" s="1"/>
      <c r="G6" s="1" t="s">
        <v>58</v>
      </c>
      <c r="H6" s="1"/>
      <c r="I6" s="1" t="s">
        <v>39</v>
      </c>
      <c r="J6" s="1" t="s">
        <v>39</v>
      </c>
      <c r="K6" s="1" t="s">
        <v>39</v>
      </c>
      <c r="L6" s="1"/>
      <c r="M6" s="1" t="s">
        <v>39</v>
      </c>
      <c r="N6" s="1" t="s">
        <v>39</v>
      </c>
      <c r="O6" s="1" t="s">
        <v>23</v>
      </c>
      <c r="P6" s="1" t="s">
        <v>39</v>
      </c>
      <c r="Q6" s="2"/>
      <c r="R6" s="1" t="s">
        <v>39</v>
      </c>
      <c r="S6" s="1" t="s">
        <v>3</v>
      </c>
      <c r="T6" s="1" t="s">
        <v>39</v>
      </c>
      <c r="U6" s="1" t="s">
        <v>39</v>
      </c>
      <c r="V6" s="1" t="s">
        <v>39</v>
      </c>
      <c r="X6" s="1" t="str">
        <f t="shared" si="2"/>
        <v/>
      </c>
      <c r="Y6" s="1" t="str">
        <f t="shared" si="3"/>
        <v>Kulkarni</v>
      </c>
      <c r="Z6" s="1" t="str">
        <f t="shared" si="4"/>
        <v/>
      </c>
      <c r="AA6" s="1" t="str">
        <f t="shared" si="5"/>
        <v/>
      </c>
      <c r="AB6" s="1" t="str">
        <f t="shared" si="6"/>
        <v>Egro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7"/>
      <c r="AG6" s="1"/>
      <c r="AH6" s="1" t="s">
        <v>39</v>
      </c>
      <c r="AI6" s="1"/>
      <c r="AJ6" s="1"/>
      <c r="AK6" s="1" t="s">
        <v>39</v>
      </c>
      <c r="AM6" s="23"/>
      <c r="AN6" s="32"/>
      <c r="AO6" s="14"/>
    </row>
    <row r="7" spans="1:41" x14ac:dyDescent="0.4">
      <c r="A7" s="1" t="s">
        <v>5</v>
      </c>
      <c r="B7" s="9">
        <v>6</v>
      </c>
      <c r="C7" s="1"/>
      <c r="D7" s="1"/>
      <c r="E7" s="1" t="s">
        <v>39</v>
      </c>
      <c r="F7" s="1"/>
      <c r="G7" s="1"/>
      <c r="H7" s="1" t="s">
        <v>3</v>
      </c>
      <c r="I7" s="1" t="s">
        <v>39</v>
      </c>
      <c r="J7" s="1"/>
      <c r="K7" s="1" t="s">
        <v>39</v>
      </c>
      <c r="L7" s="1"/>
      <c r="M7" s="1"/>
      <c r="N7" s="1" t="s">
        <v>39</v>
      </c>
      <c r="O7" s="1"/>
      <c r="P7" s="1" t="s">
        <v>39</v>
      </c>
      <c r="Q7" s="2"/>
      <c r="R7" s="1" t="s">
        <v>39</v>
      </c>
      <c r="S7" s="1"/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/>
      </c>
      <c r="Z7" s="1" t="str">
        <f t="shared" si="4"/>
        <v/>
      </c>
      <c r="AA7" s="1" t="str">
        <f t="shared" si="5"/>
        <v/>
      </c>
      <c r="AB7" s="1" t="str">
        <f t="shared" si="6"/>
        <v>Okolo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7"/>
      <c r="AG7" s="1"/>
      <c r="AH7" s="1"/>
      <c r="AI7" s="1"/>
      <c r="AJ7" s="1"/>
      <c r="AK7" s="1" t="s">
        <v>39</v>
      </c>
      <c r="AM7" s="23"/>
      <c r="AN7" s="30"/>
      <c r="AO7" s="14"/>
    </row>
    <row r="8" spans="1:41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/>
      <c r="H8" s="1"/>
      <c r="I8" s="1" t="s">
        <v>39</v>
      </c>
      <c r="J8" s="1"/>
      <c r="K8" s="1" t="s">
        <v>39</v>
      </c>
      <c r="L8" s="1" t="s">
        <v>2</v>
      </c>
      <c r="M8" s="1"/>
      <c r="N8" s="1" t="s">
        <v>39</v>
      </c>
      <c r="O8" s="1"/>
      <c r="P8" s="1" t="s">
        <v>39</v>
      </c>
      <c r="Q8" s="2"/>
      <c r="R8" s="1" t="s">
        <v>39</v>
      </c>
      <c r="S8" s="1" t="s">
        <v>3</v>
      </c>
      <c r="T8" s="1" t="s">
        <v>39</v>
      </c>
      <c r="U8" s="1" t="s">
        <v>39</v>
      </c>
      <c r="V8" s="1" t="s">
        <v>39</v>
      </c>
      <c r="W8" s="25" t="s">
        <v>70</v>
      </c>
      <c r="X8" s="1" t="str">
        <f t="shared" si="2"/>
        <v>Dadashzadeh</v>
      </c>
      <c r="Y8" s="1" t="str">
        <f t="shared" si="3"/>
        <v/>
      </c>
      <c r="Z8" s="1" t="str">
        <f t="shared" si="4"/>
        <v/>
      </c>
      <c r="AA8" s="1" t="str">
        <f t="shared" si="5"/>
        <v/>
      </c>
      <c r="AB8" s="1" t="str">
        <f t="shared" si="6"/>
        <v>Egro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7"/>
      <c r="AG8" s="1" t="s">
        <v>39</v>
      </c>
      <c r="AH8" s="1"/>
      <c r="AI8" s="1"/>
      <c r="AJ8" s="1"/>
      <c r="AK8" s="1" t="s">
        <v>39</v>
      </c>
      <c r="AM8" s="23"/>
      <c r="AN8" s="31"/>
      <c r="AO8" s="14"/>
    </row>
    <row r="9" spans="1:41" x14ac:dyDescent="0.4">
      <c r="A9" s="1" t="s">
        <v>7</v>
      </c>
      <c r="B9" s="9">
        <v>8</v>
      </c>
      <c r="C9" s="1"/>
      <c r="D9" s="1"/>
      <c r="E9" s="1" t="s">
        <v>39</v>
      </c>
      <c r="F9" s="1"/>
      <c r="G9" s="1" t="s">
        <v>23</v>
      </c>
      <c r="H9" s="1"/>
      <c r="I9" s="1" t="s">
        <v>39</v>
      </c>
      <c r="J9" s="1" t="s">
        <v>2</v>
      </c>
      <c r="K9" s="1" t="s">
        <v>39</v>
      </c>
      <c r="L9" s="1"/>
      <c r="M9" s="1"/>
      <c r="N9" s="1" t="s">
        <v>39</v>
      </c>
      <c r="O9" s="1"/>
      <c r="P9" s="1"/>
      <c r="Q9" s="2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W9" s="3" t="s">
        <v>65</v>
      </c>
      <c r="X9" s="1" t="str">
        <f t="shared" si="2"/>
        <v>Tam</v>
      </c>
      <c r="Y9" s="1" t="str">
        <f t="shared" si="3"/>
        <v>Handzel</v>
      </c>
      <c r="Z9" s="1" t="str">
        <f t="shared" si="4"/>
        <v/>
      </c>
      <c r="AA9" s="1" t="str">
        <f t="shared" si="5"/>
        <v/>
      </c>
      <c r="AB9" s="1" t="str">
        <f t="shared" si="6"/>
        <v>NEEDS COVERAGE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7"/>
      <c r="AG9" s="1" t="s">
        <v>39</v>
      </c>
      <c r="AH9" s="1" t="s">
        <v>39</v>
      </c>
      <c r="AI9" s="1"/>
      <c r="AJ9" s="1"/>
      <c r="AK9" s="1" t="s">
        <v>39</v>
      </c>
      <c r="AM9" s="23"/>
      <c r="AN9" s="29"/>
      <c r="AO9" s="14"/>
    </row>
    <row r="10" spans="1:41" x14ac:dyDescent="0.4">
      <c r="A10" s="1" t="s">
        <v>8</v>
      </c>
      <c r="B10" s="9">
        <v>9</v>
      </c>
      <c r="C10" s="1"/>
      <c r="D10" s="1"/>
      <c r="E10" s="1" t="s">
        <v>39</v>
      </c>
      <c r="F10" s="1"/>
      <c r="G10" s="1" t="s">
        <v>39</v>
      </c>
      <c r="H10" s="1"/>
      <c r="I10" s="1" t="s">
        <v>39</v>
      </c>
      <c r="J10" s="1" t="s">
        <v>39</v>
      </c>
      <c r="K10" s="1"/>
      <c r="L10" s="1"/>
      <c r="M10" s="1" t="s">
        <v>3</v>
      </c>
      <c r="N10" s="1" t="s">
        <v>39</v>
      </c>
      <c r="O10" s="1"/>
      <c r="P10" s="1"/>
      <c r="Q10" s="2" t="s">
        <v>23</v>
      </c>
      <c r="R10" s="1" t="s">
        <v>39</v>
      </c>
      <c r="S10" s="1" t="s">
        <v>39</v>
      </c>
      <c r="T10" s="1" t="s">
        <v>39</v>
      </c>
      <c r="U10" s="1" t="s">
        <v>39</v>
      </c>
      <c r="V10" s="1" t="s">
        <v>39</v>
      </c>
      <c r="W10" s="3" t="s">
        <v>69</v>
      </c>
      <c r="X10" s="1" t="str">
        <f t="shared" si="2"/>
        <v/>
      </c>
      <c r="Y10" s="1" t="str">
        <f t="shared" si="3"/>
        <v>Nicholson</v>
      </c>
      <c r="Z10" s="1" t="str">
        <f t="shared" si="4"/>
        <v/>
      </c>
      <c r="AA10" s="1" t="str">
        <f t="shared" si="5"/>
        <v/>
      </c>
      <c r="AB10" s="1" t="str">
        <f t="shared" si="6"/>
        <v>Gallagher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27"/>
      <c r="AG10" s="1"/>
      <c r="AH10" s="1" t="s">
        <v>39</v>
      </c>
      <c r="AI10" s="1"/>
      <c r="AJ10" s="1"/>
      <c r="AK10" s="1" t="s">
        <v>39</v>
      </c>
      <c r="AM10" s="23"/>
      <c r="AN10" s="32"/>
      <c r="AO10" s="14"/>
    </row>
    <row r="11" spans="1:41" x14ac:dyDescent="0.4">
      <c r="A11" s="1" t="s">
        <v>9</v>
      </c>
      <c r="B11" s="9">
        <v>10</v>
      </c>
      <c r="C11" s="1"/>
      <c r="D11" s="1" t="s">
        <v>39</v>
      </c>
      <c r="E11" s="1"/>
      <c r="F11" s="1" t="s">
        <v>23</v>
      </c>
      <c r="G11" s="1" t="s">
        <v>39</v>
      </c>
      <c r="H11" s="1"/>
      <c r="I11" s="1" t="s">
        <v>39</v>
      </c>
      <c r="J11" s="1" t="s">
        <v>39</v>
      </c>
      <c r="K11" s="1" t="s">
        <v>2</v>
      </c>
      <c r="L11" s="1" t="s">
        <v>39</v>
      </c>
      <c r="M11" s="1" t="s">
        <v>39</v>
      </c>
      <c r="N11" s="1"/>
      <c r="O11" s="1"/>
      <c r="P11" s="1" t="s">
        <v>3</v>
      </c>
      <c r="Q11" s="2"/>
      <c r="R11" s="1" t="s">
        <v>39</v>
      </c>
      <c r="S11" s="1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>Cyr</v>
      </c>
      <c r="Y11" s="1" t="str">
        <f t="shared" si="3"/>
        <v>Griepentrog</v>
      </c>
      <c r="Z11" s="1" t="str">
        <f t="shared" si="4"/>
        <v/>
      </c>
      <c r="AA11" s="1" t="str">
        <f t="shared" si="5"/>
        <v/>
      </c>
      <c r="AB11" s="1" t="str">
        <f t="shared" si="6"/>
        <v>Myers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7"/>
      <c r="AG11" s="1" t="s">
        <v>39</v>
      </c>
      <c r="AH11" s="1" t="s">
        <v>39</v>
      </c>
      <c r="AI11" s="1"/>
      <c r="AJ11" s="1"/>
      <c r="AK11" s="1" t="s">
        <v>39</v>
      </c>
      <c r="AM11" s="23"/>
      <c r="AN11" s="28"/>
      <c r="AO11" s="14"/>
    </row>
    <row r="12" spans="1:41" x14ac:dyDescent="0.4">
      <c r="A12" s="1" t="s">
        <v>4</v>
      </c>
      <c r="B12" s="9">
        <v>11</v>
      </c>
      <c r="C12" s="1" t="s">
        <v>23</v>
      </c>
      <c r="D12" s="1" t="s">
        <v>3</v>
      </c>
      <c r="E12" s="1"/>
      <c r="F12" s="1"/>
      <c r="G12" s="1" t="s">
        <v>39</v>
      </c>
      <c r="H12" s="1" t="s">
        <v>2</v>
      </c>
      <c r="I12" s="1" t="s">
        <v>39</v>
      </c>
      <c r="J12" s="1" t="s">
        <v>39</v>
      </c>
      <c r="K12" s="1"/>
      <c r="L12" s="1" t="s">
        <v>39</v>
      </c>
      <c r="M12" s="1" t="s">
        <v>39</v>
      </c>
      <c r="N12" s="1" t="s">
        <v>39</v>
      </c>
      <c r="O12" s="1"/>
      <c r="P12" s="1"/>
      <c r="Q12" s="2"/>
      <c r="R12" s="1" t="s">
        <v>39</v>
      </c>
      <c r="S12" s="1" t="s">
        <v>39</v>
      </c>
      <c r="T12" s="1" t="s">
        <v>39</v>
      </c>
      <c r="U12" s="1" t="s">
        <v>39</v>
      </c>
      <c r="V12" s="1" t="s">
        <v>39</v>
      </c>
      <c r="W12" s="3" t="s">
        <v>71</v>
      </c>
      <c r="X12" s="1" t="str">
        <f t="shared" si="2"/>
        <v>Okolo</v>
      </c>
      <c r="Y12" s="1" t="str">
        <f t="shared" si="3"/>
        <v>Dyer</v>
      </c>
      <c r="Z12" s="1" t="str">
        <f t="shared" si="4"/>
        <v/>
      </c>
      <c r="AA12" s="1" t="str">
        <f t="shared" si="5"/>
        <v/>
      </c>
      <c r="AB12" s="1" t="str">
        <f t="shared" si="6"/>
        <v>Van Der Windt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7"/>
      <c r="AG12" s="1" t="s">
        <v>39</v>
      </c>
      <c r="AH12" s="1" t="s">
        <v>39</v>
      </c>
      <c r="AI12" s="1"/>
      <c r="AJ12" s="1"/>
      <c r="AK12" s="1" t="s">
        <v>39</v>
      </c>
      <c r="AM12" s="23"/>
      <c r="AN12" s="30"/>
      <c r="AO12" s="14"/>
    </row>
    <row r="13" spans="1:41" x14ac:dyDescent="0.4">
      <c r="A13" s="1" t="s">
        <v>10</v>
      </c>
      <c r="B13" s="9">
        <v>12</v>
      </c>
      <c r="C13" s="1"/>
      <c r="D13" s="21"/>
      <c r="E13" s="1"/>
      <c r="F13" s="1"/>
      <c r="G13" s="1" t="s">
        <v>39</v>
      </c>
      <c r="H13" s="1"/>
      <c r="I13" s="1" t="s">
        <v>39</v>
      </c>
      <c r="J13" s="1" t="s">
        <v>39</v>
      </c>
      <c r="K13" s="1"/>
      <c r="L13" s="1" t="s">
        <v>39</v>
      </c>
      <c r="M13" s="1" t="s">
        <v>39</v>
      </c>
      <c r="N13" s="1" t="s">
        <v>23</v>
      </c>
      <c r="O13" s="1"/>
      <c r="P13" s="1" t="s">
        <v>21</v>
      </c>
      <c r="Q13" s="2"/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>Huckaby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Myers</v>
      </c>
      <c r="AB13" s="1" t="str">
        <f t="shared" si="6"/>
        <v>NEEDS COVERAGE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27"/>
      <c r="AG13" s="1"/>
      <c r="AH13" s="1" t="s">
        <v>39</v>
      </c>
      <c r="AI13" s="1"/>
      <c r="AJ13" s="1" t="s">
        <v>39</v>
      </c>
      <c r="AK13" s="1" t="s">
        <v>39</v>
      </c>
      <c r="AM13" s="23"/>
      <c r="AN13" s="29"/>
      <c r="AO13" s="14"/>
    </row>
    <row r="14" spans="1:41" s="5" customFormat="1" x14ac:dyDescent="0.4">
      <c r="A14" s="2" t="s">
        <v>5</v>
      </c>
      <c r="B14" s="38">
        <v>13</v>
      </c>
      <c r="C14" s="2"/>
      <c r="D14" s="2"/>
      <c r="E14" s="2" t="s">
        <v>39</v>
      </c>
      <c r="F14" s="2" t="s">
        <v>39</v>
      </c>
      <c r="G14" s="2" t="s">
        <v>39</v>
      </c>
      <c r="H14" s="2"/>
      <c r="I14" s="2" t="s">
        <v>39</v>
      </c>
      <c r="J14" s="2" t="s">
        <v>39</v>
      </c>
      <c r="K14" s="2"/>
      <c r="L14" s="2" t="s">
        <v>39</v>
      </c>
      <c r="M14" s="2" t="s">
        <v>39</v>
      </c>
      <c r="N14" s="2" t="s">
        <v>39</v>
      </c>
      <c r="O14" s="2"/>
      <c r="P14" s="2"/>
      <c r="Q14" s="2" t="s">
        <v>2</v>
      </c>
      <c r="R14" s="2" t="s">
        <v>39</v>
      </c>
      <c r="S14" s="2" t="s">
        <v>39</v>
      </c>
      <c r="T14" s="2" t="s">
        <v>39</v>
      </c>
      <c r="U14" s="2" t="s">
        <v>39</v>
      </c>
      <c r="V14" s="2" t="s">
        <v>39</v>
      </c>
      <c r="W14" s="5" t="s">
        <v>66</v>
      </c>
      <c r="X14" s="2" t="str">
        <f t="shared" si="2"/>
        <v>Nicholson</v>
      </c>
      <c r="Y14" s="2" t="str">
        <f t="shared" si="3"/>
        <v/>
      </c>
      <c r="Z14" s="2" t="str">
        <f t="shared" si="4"/>
        <v/>
      </c>
      <c r="AA14" s="2" t="str">
        <f t="shared" si="5"/>
        <v/>
      </c>
      <c r="AB14" s="2" t="str">
        <f t="shared" si="6"/>
        <v>NEEDS COVERAGE</v>
      </c>
      <c r="AC14" s="2" t="str">
        <f t="shared" si="0"/>
        <v/>
      </c>
      <c r="AD14" s="2" t="str">
        <f t="shared" si="1"/>
        <v/>
      </c>
      <c r="AE14" s="2" t="str">
        <f t="shared" si="1"/>
        <v/>
      </c>
      <c r="AF14" s="39"/>
      <c r="AG14" s="2" t="s">
        <v>39</v>
      </c>
      <c r="AH14" s="2"/>
      <c r="AI14" s="2"/>
      <c r="AJ14" s="2"/>
      <c r="AK14" s="2" t="s">
        <v>39</v>
      </c>
      <c r="AL14" s="2"/>
      <c r="AM14" s="40"/>
      <c r="AN14" s="42"/>
      <c r="AO14" s="41"/>
    </row>
    <row r="15" spans="1:41" x14ac:dyDescent="0.4">
      <c r="A15" s="1" t="s">
        <v>6</v>
      </c>
      <c r="B15" s="9">
        <v>14</v>
      </c>
      <c r="C15" s="1"/>
      <c r="D15" s="1" t="s">
        <v>2</v>
      </c>
      <c r="E15" s="1" t="s">
        <v>39</v>
      </c>
      <c r="F15" s="1" t="s">
        <v>39</v>
      </c>
      <c r="G15" s="1" t="s">
        <v>39</v>
      </c>
      <c r="H15" s="1"/>
      <c r="I15" s="1" t="s">
        <v>39</v>
      </c>
      <c r="J15" s="1" t="s">
        <v>39</v>
      </c>
      <c r="K15" s="1"/>
      <c r="L15" s="1" t="s">
        <v>39</v>
      </c>
      <c r="M15" s="1" t="s">
        <v>39</v>
      </c>
      <c r="N15" s="1" t="s">
        <v>39</v>
      </c>
      <c r="O15" s="1"/>
      <c r="P15" s="1"/>
      <c r="Q15" s="2" t="s">
        <v>39</v>
      </c>
      <c r="R15" s="1" t="s">
        <v>39</v>
      </c>
      <c r="S15" s="1" t="s">
        <v>3</v>
      </c>
      <c r="T15" s="1" t="s">
        <v>39</v>
      </c>
      <c r="U15" s="1" t="s">
        <v>39</v>
      </c>
      <c r="V15" s="1" t="s">
        <v>39</v>
      </c>
      <c r="X15" s="1" t="str">
        <f t="shared" si="2"/>
        <v>Van Der Windt</v>
      </c>
      <c r="Y15" s="1" t="str">
        <f t="shared" si="3"/>
        <v/>
      </c>
      <c r="Z15" s="1" t="str">
        <f t="shared" si="4"/>
        <v/>
      </c>
      <c r="AA15" s="1" t="str">
        <f t="shared" si="5"/>
        <v/>
      </c>
      <c r="AB15" s="1" t="str">
        <f t="shared" si="6"/>
        <v>Egro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7"/>
      <c r="AG15" s="1" t="s">
        <v>39</v>
      </c>
      <c r="AH15" s="1"/>
      <c r="AI15" s="1"/>
      <c r="AJ15" s="1"/>
      <c r="AK15" s="1" t="s">
        <v>39</v>
      </c>
      <c r="AM15" s="23"/>
      <c r="AN15" s="32"/>
      <c r="AO15" s="14"/>
    </row>
    <row r="16" spans="1:41" x14ac:dyDescent="0.4">
      <c r="A16" s="1" t="s">
        <v>7</v>
      </c>
      <c r="B16" s="9">
        <v>15</v>
      </c>
      <c r="C16" s="1" t="s">
        <v>22</v>
      </c>
      <c r="D16" s="1"/>
      <c r="E16" s="1" t="s">
        <v>39</v>
      </c>
      <c r="F16" s="1" t="s">
        <v>39</v>
      </c>
      <c r="G16" s="1" t="s">
        <v>39</v>
      </c>
      <c r="H16" s="1" t="s">
        <v>23</v>
      </c>
      <c r="I16" s="1" t="s">
        <v>39</v>
      </c>
      <c r="J16" s="1" t="s">
        <v>39</v>
      </c>
      <c r="K16" s="1"/>
      <c r="L16" s="1" t="s">
        <v>39</v>
      </c>
      <c r="M16" s="1" t="s">
        <v>39</v>
      </c>
      <c r="N16" s="1" t="s">
        <v>39</v>
      </c>
      <c r="O16" s="1"/>
      <c r="P16" s="1"/>
      <c r="Q16" s="2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W16" s="3" t="s">
        <v>73</v>
      </c>
      <c r="X16" s="1" t="str">
        <f t="shared" si="2"/>
        <v/>
      </c>
      <c r="Y16" s="1" t="str">
        <f t="shared" si="3"/>
        <v>Okolo</v>
      </c>
      <c r="Z16" s="1" t="str">
        <f t="shared" si="4"/>
        <v>Dyer</v>
      </c>
      <c r="AA16" s="1" t="str">
        <f t="shared" si="5"/>
        <v/>
      </c>
      <c r="AB16" s="1" t="str">
        <f t="shared" si="6"/>
        <v>NEEDS COVERAGE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27"/>
      <c r="AG16" s="1"/>
      <c r="AH16" s="1" t="s">
        <v>39</v>
      </c>
      <c r="AI16" s="1" t="s">
        <v>39</v>
      </c>
      <c r="AJ16" s="1"/>
      <c r="AK16" s="1" t="s">
        <v>39</v>
      </c>
      <c r="AM16" s="23"/>
      <c r="AN16" s="28"/>
      <c r="AO16" s="14"/>
    </row>
    <row r="17" spans="1:41" x14ac:dyDescent="0.4">
      <c r="A17" s="1" t="s">
        <v>8</v>
      </c>
      <c r="B17" s="9">
        <v>16</v>
      </c>
      <c r="C17" s="1"/>
      <c r="D17" s="1"/>
      <c r="E17" s="1" t="s">
        <v>39</v>
      </c>
      <c r="F17" s="1"/>
      <c r="G17" s="1" t="s">
        <v>39</v>
      </c>
      <c r="H17" s="1"/>
      <c r="I17" s="1" t="s">
        <v>39</v>
      </c>
      <c r="J17" s="1" t="s">
        <v>39</v>
      </c>
      <c r="K17" s="1"/>
      <c r="L17" s="1" t="s">
        <v>39</v>
      </c>
      <c r="M17" s="1" t="s">
        <v>23</v>
      </c>
      <c r="N17" s="1" t="s">
        <v>39</v>
      </c>
      <c r="O17" s="1" t="s">
        <v>21</v>
      </c>
      <c r="P17" s="1"/>
      <c r="Q17" s="2" t="s">
        <v>39</v>
      </c>
      <c r="R17" s="1" t="s">
        <v>39</v>
      </c>
      <c r="S17" s="1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/>
      </c>
      <c r="Y17" s="1" t="str">
        <f t="shared" si="3"/>
        <v>Gallagher</v>
      </c>
      <c r="Z17" s="1" t="str">
        <f t="shared" si="4"/>
        <v/>
      </c>
      <c r="AA17" s="1" t="str">
        <f t="shared" si="5"/>
        <v>Kulkarni</v>
      </c>
      <c r="AB17" s="1" t="str">
        <f t="shared" si="6"/>
        <v>NEEDS COVERAGE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7"/>
      <c r="AG17" s="1"/>
      <c r="AH17" s="1" t="s">
        <v>39</v>
      </c>
      <c r="AI17" s="1"/>
      <c r="AJ17" s="1" t="s">
        <v>39</v>
      </c>
      <c r="AK17" s="1" t="s">
        <v>39</v>
      </c>
      <c r="AM17" s="23"/>
      <c r="AN17" s="31"/>
      <c r="AO17" s="14"/>
    </row>
    <row r="18" spans="1:41" x14ac:dyDescent="0.4">
      <c r="A18" s="1" t="s">
        <v>9</v>
      </c>
      <c r="B18" s="9">
        <v>17</v>
      </c>
      <c r="C18" s="1"/>
      <c r="D18" s="1"/>
      <c r="E18" s="1" t="s">
        <v>23</v>
      </c>
      <c r="F18" s="1"/>
      <c r="G18" s="1" t="s">
        <v>39</v>
      </c>
      <c r="H18" s="1"/>
      <c r="I18" s="1" t="s">
        <v>39</v>
      </c>
      <c r="J18" s="1" t="s">
        <v>39</v>
      </c>
      <c r="K18" s="1"/>
      <c r="L18" s="1" t="s">
        <v>39</v>
      </c>
      <c r="M18" s="1" t="s">
        <v>39</v>
      </c>
      <c r="N18" s="1"/>
      <c r="O18" s="1"/>
      <c r="P18" s="1" t="s">
        <v>39</v>
      </c>
      <c r="Q18" s="2" t="s">
        <v>39</v>
      </c>
      <c r="R18" s="1" t="s">
        <v>39</v>
      </c>
      <c r="S18" s="1" t="s">
        <v>3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Yeh</v>
      </c>
      <c r="Z18" s="1" t="str">
        <f t="shared" si="4"/>
        <v/>
      </c>
      <c r="AA18" s="1" t="str">
        <f t="shared" si="5"/>
        <v/>
      </c>
      <c r="AB18" s="1" t="str">
        <f t="shared" si="6"/>
        <v>Egro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27"/>
      <c r="AG18" s="1"/>
      <c r="AH18" s="1" t="s">
        <v>39</v>
      </c>
      <c r="AI18" s="1"/>
      <c r="AJ18" s="1"/>
      <c r="AK18" s="1" t="s">
        <v>39</v>
      </c>
      <c r="AM18" s="23"/>
      <c r="AN18" s="30"/>
      <c r="AO18" s="14"/>
    </row>
    <row r="19" spans="1:41" x14ac:dyDescent="0.4">
      <c r="A19" s="1" t="s">
        <v>4</v>
      </c>
      <c r="B19" s="9">
        <v>18</v>
      </c>
      <c r="C19" s="1"/>
      <c r="D19" s="1"/>
      <c r="E19" s="1"/>
      <c r="F19" s="1"/>
      <c r="G19" s="1" t="s">
        <v>39</v>
      </c>
      <c r="H19" s="1" t="s">
        <v>23</v>
      </c>
      <c r="I19" s="1" t="s">
        <v>39</v>
      </c>
      <c r="J19" s="1" t="s">
        <v>39</v>
      </c>
      <c r="K19" s="1"/>
      <c r="L19" s="1"/>
      <c r="M19" s="1" t="s">
        <v>39</v>
      </c>
      <c r="N19" s="1" t="s">
        <v>2</v>
      </c>
      <c r="O19" s="1"/>
      <c r="P19" s="1" t="s">
        <v>39</v>
      </c>
      <c r="Q19" s="2" t="s">
        <v>39</v>
      </c>
      <c r="R19" s="1" t="s">
        <v>39</v>
      </c>
      <c r="S19" s="1" t="s">
        <v>3</v>
      </c>
      <c r="T19" s="1" t="s">
        <v>39</v>
      </c>
      <c r="U19" s="1" t="s">
        <v>39</v>
      </c>
      <c r="V19" s="1" t="s">
        <v>39</v>
      </c>
      <c r="W19" s="3" t="s">
        <v>71</v>
      </c>
      <c r="X19" s="1" t="str">
        <f t="shared" si="2"/>
        <v>Huckaby</v>
      </c>
      <c r="Y19" s="1" t="str">
        <f t="shared" si="3"/>
        <v>Okolo</v>
      </c>
      <c r="Z19" s="1" t="str">
        <f t="shared" si="4"/>
        <v/>
      </c>
      <c r="AA19" s="1" t="str">
        <f t="shared" si="5"/>
        <v/>
      </c>
      <c r="AB19" s="1" t="str">
        <f t="shared" si="6"/>
        <v>Egro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7"/>
      <c r="AG19" s="1" t="s">
        <v>39</v>
      </c>
      <c r="AH19" s="1" t="s">
        <v>39</v>
      </c>
      <c r="AI19" s="1"/>
      <c r="AJ19" s="1"/>
      <c r="AK19" s="1" t="s">
        <v>39</v>
      </c>
      <c r="AM19" s="23"/>
      <c r="AN19" s="29"/>
      <c r="AO19" s="14"/>
    </row>
    <row r="20" spans="1:41" x14ac:dyDescent="0.4">
      <c r="A20" s="1" t="s">
        <v>10</v>
      </c>
      <c r="B20" s="9">
        <v>19</v>
      </c>
      <c r="C20" s="1" t="s">
        <v>39</v>
      </c>
      <c r="D20" s="1" t="s">
        <v>23</v>
      </c>
      <c r="E20" s="1"/>
      <c r="F20" s="1" t="s">
        <v>22</v>
      </c>
      <c r="G20" s="1" t="s">
        <v>39</v>
      </c>
      <c r="H20" s="1"/>
      <c r="I20" s="1" t="s">
        <v>39</v>
      </c>
      <c r="J20" s="1" t="s">
        <v>39</v>
      </c>
      <c r="K20" s="1" t="s">
        <v>39</v>
      </c>
      <c r="L20" s="1"/>
      <c r="M20" s="1" t="s">
        <v>2</v>
      </c>
      <c r="N20" s="1"/>
      <c r="O20" s="1"/>
      <c r="P20" s="1" t="s">
        <v>39</v>
      </c>
      <c r="Q20" s="2" t="s">
        <v>39</v>
      </c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W20" s="3" t="s">
        <v>64</v>
      </c>
      <c r="X20" s="1" t="str">
        <f t="shared" si="2"/>
        <v>Gallagher</v>
      </c>
      <c r="Y20" s="1" t="str">
        <f t="shared" si="3"/>
        <v>Van Der Windt</v>
      </c>
      <c r="Z20" s="1" t="str">
        <f t="shared" si="4"/>
        <v>Griepentrog</v>
      </c>
      <c r="AA20" s="1" t="str">
        <f t="shared" si="5"/>
        <v/>
      </c>
      <c r="AB20" s="1" t="str">
        <f t="shared" si="6"/>
        <v>NEEDS COVERAGE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7"/>
      <c r="AG20" s="1" t="s">
        <v>39</v>
      </c>
      <c r="AH20" s="1" t="s">
        <v>39</v>
      </c>
      <c r="AI20" s="1" t="s">
        <v>39</v>
      </c>
      <c r="AJ20" s="1"/>
      <c r="AK20" s="1" t="s">
        <v>39</v>
      </c>
      <c r="AM20" s="23"/>
      <c r="AN20" s="31"/>
      <c r="AO20" s="14"/>
    </row>
    <row r="21" spans="1:41" x14ac:dyDescent="0.4">
      <c r="A21" s="1" t="s">
        <v>5</v>
      </c>
      <c r="B21" s="9">
        <v>20</v>
      </c>
      <c r="C21" s="1" t="s">
        <v>39</v>
      </c>
      <c r="D21" s="1"/>
      <c r="E21" s="1" t="s">
        <v>39</v>
      </c>
      <c r="F21" s="1"/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21</v>
      </c>
      <c r="M21" s="1"/>
      <c r="N21" s="1"/>
      <c r="O21" s="1"/>
      <c r="P21" s="1" t="s">
        <v>39</v>
      </c>
      <c r="Q21" s="2" t="s">
        <v>39</v>
      </c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W21" s="3" t="s">
        <v>70</v>
      </c>
      <c r="X21" s="1" t="str">
        <f t="shared" si="2"/>
        <v/>
      </c>
      <c r="Y21" s="1" t="str">
        <f t="shared" si="3"/>
        <v/>
      </c>
      <c r="Z21" s="1" t="str">
        <f t="shared" si="4"/>
        <v/>
      </c>
      <c r="AA21" s="1" t="str">
        <f t="shared" si="5"/>
        <v>Dadashzadeh</v>
      </c>
      <c r="AB21" s="1" t="str">
        <f t="shared" si="6"/>
        <v>NEEDS COVERAGE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7"/>
      <c r="AG21" s="1"/>
      <c r="AH21" s="1"/>
      <c r="AI21" s="1"/>
      <c r="AJ21" s="1" t="s">
        <v>39</v>
      </c>
      <c r="AK21" s="1" t="s">
        <v>39</v>
      </c>
      <c r="AM21" s="23"/>
      <c r="AN21" s="31"/>
      <c r="AO21" s="14"/>
    </row>
    <row r="22" spans="1:41" x14ac:dyDescent="0.4">
      <c r="A22" s="1" t="s">
        <v>6</v>
      </c>
      <c r="B22" s="9">
        <v>21</v>
      </c>
      <c r="C22" s="1" t="s">
        <v>2</v>
      </c>
      <c r="D22" s="1"/>
      <c r="E22" s="1" t="s">
        <v>39</v>
      </c>
      <c r="F22" s="1"/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/>
      <c r="M22" s="1" t="s">
        <v>39</v>
      </c>
      <c r="N22" s="1"/>
      <c r="O22" s="1"/>
      <c r="P22" s="1" t="s">
        <v>39</v>
      </c>
      <c r="Q22" s="2" t="s">
        <v>39</v>
      </c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W22" s="3" t="s">
        <v>74</v>
      </c>
      <c r="X22" s="1" t="str">
        <f t="shared" si="2"/>
        <v>Dyer</v>
      </c>
      <c r="Y22" s="1" t="str">
        <f t="shared" si="3"/>
        <v/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27"/>
      <c r="AG22" s="1" t="s">
        <v>39</v>
      </c>
      <c r="AH22" s="1"/>
      <c r="AI22" s="1"/>
      <c r="AJ22" s="1"/>
      <c r="AK22" s="1" t="s">
        <v>39</v>
      </c>
      <c r="AM22" s="23"/>
      <c r="AN22" s="30"/>
      <c r="AO22" s="14"/>
    </row>
    <row r="23" spans="1:41" x14ac:dyDescent="0.4">
      <c r="A23" s="1" t="s">
        <v>7</v>
      </c>
      <c r="B23" s="9">
        <v>22</v>
      </c>
      <c r="C23" s="1" t="s">
        <v>39</v>
      </c>
      <c r="D23" s="1"/>
      <c r="E23" s="1" t="s">
        <v>39</v>
      </c>
      <c r="F23" s="1" t="s">
        <v>39</v>
      </c>
      <c r="G23" s="1" t="s">
        <v>39</v>
      </c>
      <c r="H23" s="1"/>
      <c r="I23" s="1" t="s">
        <v>39</v>
      </c>
      <c r="J23" s="1" t="s">
        <v>39</v>
      </c>
      <c r="K23" s="1" t="s">
        <v>2</v>
      </c>
      <c r="L23" s="1"/>
      <c r="M23" s="1" t="s">
        <v>39</v>
      </c>
      <c r="N23" s="1" t="s">
        <v>21</v>
      </c>
      <c r="O23" s="1" t="s">
        <v>23</v>
      </c>
      <c r="P23" s="1" t="s">
        <v>39</v>
      </c>
      <c r="Q23" s="2" t="s">
        <v>39</v>
      </c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75</v>
      </c>
      <c r="X23" s="1" t="str">
        <f t="shared" si="2"/>
        <v>Cyr</v>
      </c>
      <c r="Y23" s="1" t="str">
        <f t="shared" si="3"/>
        <v>Kulkarni</v>
      </c>
      <c r="Z23" s="1" t="str">
        <f t="shared" si="4"/>
        <v/>
      </c>
      <c r="AA23" s="1" t="str">
        <f t="shared" si="5"/>
        <v>Huckaby</v>
      </c>
      <c r="AB23" s="1" t="str">
        <f t="shared" si="6"/>
        <v>NEEDS COVERAGE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7"/>
      <c r="AG23" s="1" t="s">
        <v>39</v>
      </c>
      <c r="AH23" s="1" t="s">
        <v>39</v>
      </c>
      <c r="AI23" s="1"/>
      <c r="AJ23" s="1" t="s">
        <v>39</v>
      </c>
      <c r="AK23" s="1" t="s">
        <v>39</v>
      </c>
      <c r="AM23" s="23"/>
      <c r="AN23" s="28"/>
      <c r="AO23" s="14"/>
    </row>
    <row r="24" spans="1:41" x14ac:dyDescent="0.4">
      <c r="A24" s="1" t="s">
        <v>8</v>
      </c>
      <c r="B24" s="9">
        <v>23</v>
      </c>
      <c r="C24" s="1" t="s">
        <v>39</v>
      </c>
      <c r="D24" s="1" t="s">
        <v>22</v>
      </c>
      <c r="E24" s="1" t="s">
        <v>23</v>
      </c>
      <c r="F24" s="1" t="s">
        <v>39</v>
      </c>
      <c r="G24" s="1" t="s">
        <v>3</v>
      </c>
      <c r="H24" s="1"/>
      <c r="I24" s="1"/>
      <c r="J24" s="1" t="s">
        <v>39</v>
      </c>
      <c r="K24" s="1"/>
      <c r="L24" s="1"/>
      <c r="M24" s="1" t="s">
        <v>39</v>
      </c>
      <c r="N24" s="1"/>
      <c r="O24" s="1"/>
      <c r="P24" s="1"/>
      <c r="Q24" s="2"/>
      <c r="R24" s="1" t="s">
        <v>39</v>
      </c>
      <c r="S24" s="1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/>
      </c>
      <c r="Y24" s="1" t="str">
        <f t="shared" si="3"/>
        <v>Yeh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Handzel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7"/>
      <c r="AG24" s="1"/>
      <c r="AH24" s="1" t="s">
        <v>39</v>
      </c>
      <c r="AI24" s="1" t="s">
        <v>39</v>
      </c>
      <c r="AJ24" s="1"/>
      <c r="AK24" s="1" t="s">
        <v>39</v>
      </c>
      <c r="AM24" s="23"/>
      <c r="AN24" s="28"/>
      <c r="AO24" s="14"/>
    </row>
    <row r="25" spans="1:41" x14ac:dyDescent="0.4">
      <c r="A25" s="1" t="s">
        <v>9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1"/>
      <c r="H25" s="1" t="s">
        <v>22</v>
      </c>
      <c r="I25" s="1"/>
      <c r="J25" s="1" t="s">
        <v>39</v>
      </c>
      <c r="K25" s="1"/>
      <c r="L25" s="1" t="s">
        <v>23</v>
      </c>
      <c r="M25" s="1" t="s">
        <v>39</v>
      </c>
      <c r="N25" s="1"/>
      <c r="O25" s="1"/>
      <c r="P25" s="1" t="s">
        <v>2</v>
      </c>
      <c r="Q25" s="2"/>
      <c r="R25" s="1" t="s">
        <v>39</v>
      </c>
      <c r="S25" s="1" t="s">
        <v>39</v>
      </c>
      <c r="T25" s="1" t="s">
        <v>39</v>
      </c>
      <c r="U25" s="1" t="s">
        <v>39</v>
      </c>
      <c r="V25" s="1" t="s">
        <v>39</v>
      </c>
      <c r="W25" s="3" t="s">
        <v>74</v>
      </c>
      <c r="X25" s="1" t="str">
        <f t="shared" si="2"/>
        <v>Myers</v>
      </c>
      <c r="Y25" s="1" t="str">
        <f t="shared" si="3"/>
        <v>Dadashzadeh</v>
      </c>
      <c r="Z25" s="1" t="str">
        <f t="shared" si="4"/>
        <v>Okolo</v>
      </c>
      <c r="AA25" s="1" t="str">
        <f t="shared" si="5"/>
        <v/>
      </c>
      <c r="AB25" s="1" t="str">
        <f t="shared" si="6"/>
        <v>NEEDS COVERAGE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7"/>
      <c r="AG25" s="1" t="s">
        <v>39</v>
      </c>
      <c r="AH25" s="1" t="s">
        <v>39</v>
      </c>
      <c r="AI25" s="1" t="s">
        <v>39</v>
      </c>
      <c r="AJ25" s="1"/>
      <c r="AK25" s="1" t="s">
        <v>39</v>
      </c>
      <c r="AM25" s="23"/>
      <c r="AN25" s="29"/>
      <c r="AO25" s="14"/>
    </row>
    <row r="26" spans="1:41" x14ac:dyDescent="0.4">
      <c r="A26" s="1" t="s">
        <v>4</v>
      </c>
      <c r="B26" s="9">
        <v>25</v>
      </c>
      <c r="C26" s="1" t="s">
        <v>39</v>
      </c>
      <c r="D26" s="1"/>
      <c r="E26" s="1" t="s">
        <v>39</v>
      </c>
      <c r="F26" s="1" t="s">
        <v>39</v>
      </c>
      <c r="G26" s="1"/>
      <c r="H26" s="1"/>
      <c r="I26" s="1"/>
      <c r="J26" s="1" t="s">
        <v>3</v>
      </c>
      <c r="K26" s="1" t="s">
        <v>23</v>
      </c>
      <c r="L26" s="1"/>
      <c r="M26" s="1" t="s">
        <v>39</v>
      </c>
      <c r="N26" s="1"/>
      <c r="O26" s="1"/>
      <c r="P26" s="1"/>
      <c r="Q26" s="2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>Cyr</v>
      </c>
      <c r="Z26" s="1" t="str">
        <f t="shared" si="4"/>
        <v/>
      </c>
      <c r="AA26" s="1" t="str">
        <f t="shared" si="5"/>
        <v>Nicholson</v>
      </c>
      <c r="AB26" s="1" t="str">
        <f t="shared" si="6"/>
        <v>Tam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27"/>
      <c r="AG26" s="1"/>
      <c r="AH26" s="1" t="s">
        <v>39</v>
      </c>
      <c r="AI26" s="1"/>
      <c r="AJ26" s="1" t="s">
        <v>39</v>
      </c>
      <c r="AK26" s="1" t="s">
        <v>39</v>
      </c>
      <c r="AM26" s="23"/>
      <c r="AN26" s="32"/>
      <c r="AO26" s="14"/>
    </row>
    <row r="27" spans="1:41" x14ac:dyDescent="0.4">
      <c r="A27" s="1" t="s">
        <v>10</v>
      </c>
      <c r="B27" s="9">
        <v>26</v>
      </c>
      <c r="C27" s="1" t="s">
        <v>39</v>
      </c>
      <c r="D27" s="1" t="s">
        <v>39</v>
      </c>
      <c r="E27" s="1" t="s">
        <v>39</v>
      </c>
      <c r="F27" s="1" t="s">
        <v>39</v>
      </c>
      <c r="G27" s="1" t="s">
        <v>2</v>
      </c>
      <c r="H27" s="1" t="s">
        <v>39</v>
      </c>
      <c r="I27" s="1" t="s">
        <v>22</v>
      </c>
      <c r="J27" s="1" t="s">
        <v>23</v>
      </c>
      <c r="K27" s="1"/>
      <c r="L27" s="1"/>
      <c r="M27" s="1" t="s">
        <v>39</v>
      </c>
      <c r="N27" s="1"/>
      <c r="O27" s="1"/>
      <c r="P27" s="1"/>
      <c r="Q27" s="2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W27" s="3" t="s">
        <v>72</v>
      </c>
      <c r="X27" s="1" t="str">
        <f t="shared" si="2"/>
        <v>Handzel</v>
      </c>
      <c r="Y27" s="1" t="str">
        <f t="shared" si="3"/>
        <v>Tam</v>
      </c>
      <c r="Z27" s="1" t="str">
        <f t="shared" si="4"/>
        <v>Siow</v>
      </c>
      <c r="AA27" s="1" t="str">
        <f t="shared" si="5"/>
        <v/>
      </c>
      <c r="AB27" s="1" t="str">
        <f t="shared" si="6"/>
        <v>NEEDS COVERAGE</v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7"/>
      <c r="AG27" s="1" t="s">
        <v>39</v>
      </c>
      <c r="AH27" s="1" t="s">
        <v>39</v>
      </c>
      <c r="AI27" s="1" t="s">
        <v>39</v>
      </c>
      <c r="AJ27" s="1"/>
      <c r="AK27" s="1" t="s">
        <v>39</v>
      </c>
      <c r="AM27" s="23"/>
      <c r="AN27" s="31"/>
      <c r="AO27" s="14"/>
    </row>
    <row r="28" spans="1:41" x14ac:dyDescent="0.4">
      <c r="A28" s="1" t="s">
        <v>5</v>
      </c>
      <c r="B28" s="9">
        <v>27</v>
      </c>
      <c r="C28" s="1" t="s">
        <v>39</v>
      </c>
      <c r="D28" s="1" t="s">
        <v>39</v>
      </c>
      <c r="E28" s="1" t="s">
        <v>39</v>
      </c>
      <c r="F28" s="1" t="s">
        <v>39</v>
      </c>
      <c r="G28" s="1"/>
      <c r="H28" s="1" t="s">
        <v>39</v>
      </c>
      <c r="I28" s="1" t="s">
        <v>3</v>
      </c>
      <c r="J28" s="1"/>
      <c r="K28" s="1" t="s">
        <v>39</v>
      </c>
      <c r="L28" s="1"/>
      <c r="M28" s="1" t="s">
        <v>2</v>
      </c>
      <c r="N28" s="1" t="s">
        <v>39</v>
      </c>
      <c r="O28" s="1" t="s">
        <v>21</v>
      </c>
      <c r="P28" s="1"/>
      <c r="Q28" s="2" t="s">
        <v>39</v>
      </c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W28" s="3" t="s">
        <v>68</v>
      </c>
      <c r="X28" s="1" t="str">
        <f t="shared" si="2"/>
        <v>Gallagher</v>
      </c>
      <c r="Y28" s="1" t="str">
        <f t="shared" si="3"/>
        <v/>
      </c>
      <c r="Z28" s="1" t="str">
        <f t="shared" si="4"/>
        <v/>
      </c>
      <c r="AA28" s="1" t="str">
        <f t="shared" si="5"/>
        <v>Kulkarni</v>
      </c>
      <c r="AB28" s="1" t="str">
        <f t="shared" si="6"/>
        <v>Siow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27"/>
      <c r="AG28" s="1" t="s">
        <v>39</v>
      </c>
      <c r="AH28" s="1"/>
      <c r="AI28" s="1"/>
      <c r="AJ28" s="1" t="s">
        <v>39</v>
      </c>
      <c r="AK28" s="1" t="s">
        <v>39</v>
      </c>
      <c r="AM28" s="23"/>
      <c r="AN28" s="30"/>
      <c r="AO28" s="14"/>
    </row>
    <row r="29" spans="1:41" x14ac:dyDescent="0.4">
      <c r="A29" s="1" t="s">
        <v>6</v>
      </c>
      <c r="B29" s="9">
        <v>28</v>
      </c>
      <c r="C29" s="1" t="s">
        <v>39</v>
      </c>
      <c r="D29" s="1" t="s">
        <v>39</v>
      </c>
      <c r="E29" s="1" t="s">
        <v>39</v>
      </c>
      <c r="F29" s="1" t="s">
        <v>39</v>
      </c>
      <c r="G29" s="1"/>
      <c r="H29" s="1" t="s">
        <v>39</v>
      </c>
      <c r="I29" s="1" t="s">
        <v>2</v>
      </c>
      <c r="J29" s="1"/>
      <c r="K29" s="1" t="s">
        <v>39</v>
      </c>
      <c r="L29" s="1"/>
      <c r="M29" s="1"/>
      <c r="N29" s="1" t="s">
        <v>39</v>
      </c>
      <c r="O29" s="1"/>
      <c r="P29" s="1"/>
      <c r="Q29" s="2" t="s">
        <v>39</v>
      </c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67</v>
      </c>
      <c r="X29" s="1" t="str">
        <f t="shared" si="2"/>
        <v>Siow</v>
      </c>
      <c r="Y29" s="1" t="str">
        <f t="shared" si="3"/>
        <v/>
      </c>
      <c r="Z29" s="1" t="str">
        <f t="shared" si="4"/>
        <v/>
      </c>
      <c r="AA29" s="1" t="str">
        <f t="shared" si="5"/>
        <v/>
      </c>
      <c r="AB29" s="1" t="str">
        <f t="shared" si="6"/>
        <v>NEEDS COVERAGE</v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7"/>
      <c r="AG29" s="1" t="s">
        <v>39</v>
      </c>
      <c r="AH29" s="1"/>
      <c r="AI29" s="1"/>
      <c r="AJ29" s="1"/>
      <c r="AK29" s="1" t="s">
        <v>39</v>
      </c>
      <c r="AM29" s="23"/>
      <c r="AN29" s="29"/>
      <c r="AO29" s="14"/>
    </row>
    <row r="30" spans="1:41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 t="s">
        <v>3</v>
      </c>
      <c r="K30" s="1" t="s">
        <v>39</v>
      </c>
      <c r="L30" s="1"/>
      <c r="M30" s="1" t="s">
        <v>23</v>
      </c>
      <c r="N30" s="1" t="s">
        <v>39</v>
      </c>
      <c r="O30" s="1"/>
      <c r="P30" s="1"/>
      <c r="Q30" s="2" t="s">
        <v>39</v>
      </c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Gallagher</v>
      </c>
      <c r="Z30" s="1" t="str">
        <f t="shared" si="4"/>
        <v/>
      </c>
      <c r="AA30" s="1" t="str">
        <f t="shared" si="5"/>
        <v/>
      </c>
      <c r="AB30" s="1" t="str">
        <f t="shared" si="6"/>
        <v>Tam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7"/>
      <c r="AG30" s="1"/>
      <c r="AH30" s="1" t="s">
        <v>39</v>
      </c>
      <c r="AI30" s="1"/>
      <c r="AJ30" s="1"/>
      <c r="AK30" s="1" t="s">
        <v>39</v>
      </c>
      <c r="AM30" s="23"/>
      <c r="AN30" s="31"/>
      <c r="AO30" s="14"/>
    </row>
    <row r="31" spans="1:41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 t="s">
        <v>3</v>
      </c>
      <c r="H31" s="1" t="s">
        <v>39</v>
      </c>
      <c r="I31" s="1"/>
      <c r="J31" s="1"/>
      <c r="K31" s="1" t="s">
        <v>39</v>
      </c>
      <c r="L31" s="1" t="s">
        <v>2</v>
      </c>
      <c r="M31" s="1"/>
      <c r="N31" s="1" t="s">
        <v>39</v>
      </c>
      <c r="O31" s="1"/>
      <c r="P31" s="1" t="s">
        <v>23</v>
      </c>
      <c r="Q31" s="2"/>
      <c r="R31" s="1" t="s">
        <v>39</v>
      </c>
      <c r="S31" s="1" t="s">
        <v>39</v>
      </c>
      <c r="T31" s="1" t="s">
        <v>39</v>
      </c>
      <c r="U31" s="1" t="s">
        <v>39</v>
      </c>
      <c r="V31" s="1" t="s">
        <v>39</v>
      </c>
      <c r="W31" s="3" t="s">
        <v>68</v>
      </c>
      <c r="X31" s="1" t="str">
        <f t="shared" si="2"/>
        <v>Dadashzadeh</v>
      </c>
      <c r="Y31" s="1" t="str">
        <f t="shared" si="3"/>
        <v>Myers</v>
      </c>
      <c r="Z31" s="1" t="str">
        <f t="shared" si="4"/>
        <v/>
      </c>
      <c r="AA31" s="1" t="str">
        <f t="shared" si="5"/>
        <v/>
      </c>
      <c r="AB31" s="1" t="str">
        <f t="shared" si="6"/>
        <v>Handzel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 t="s">
        <v>39</v>
      </c>
      <c r="AH31" s="1" t="s">
        <v>39</v>
      </c>
      <c r="AI31" s="1"/>
      <c r="AJ31" s="1"/>
      <c r="AK31" s="1" t="s">
        <v>39</v>
      </c>
      <c r="AM31" s="23"/>
      <c r="AN31" s="28"/>
      <c r="AO31" s="14"/>
    </row>
    <row r="32" spans="1:41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"/>
      <c r="R32" s="1"/>
      <c r="S32" s="1"/>
      <c r="T32" s="1"/>
      <c r="U32" s="1"/>
      <c r="V32" s="1"/>
      <c r="X32" s="1" t="str">
        <f t="shared" si="2"/>
        <v/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/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/>
      <c r="AH32" s="1"/>
      <c r="AI32" s="1"/>
      <c r="AJ32" s="1"/>
      <c r="AK32" s="1"/>
      <c r="AM32" s="23"/>
      <c r="AN32" s="32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4"/>
      <c r="AN33" s="33"/>
    </row>
    <row r="34" spans="1:40" x14ac:dyDescent="0.4">
      <c r="A34" s="7" t="s">
        <v>11</v>
      </c>
      <c r="B34" s="15"/>
      <c r="C34" s="7" t="s">
        <v>50</v>
      </c>
      <c r="D34" s="7" t="s">
        <v>51</v>
      </c>
      <c r="E34" s="7" t="s">
        <v>52</v>
      </c>
      <c r="F34" s="7" t="s">
        <v>52</v>
      </c>
      <c r="G34" s="7" t="s">
        <v>57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57</v>
      </c>
      <c r="N34" s="7" t="s">
        <v>52</v>
      </c>
      <c r="O34" s="7" t="s">
        <v>50</v>
      </c>
      <c r="P34" s="7" t="s">
        <v>57</v>
      </c>
      <c r="Q34" s="43" t="s">
        <v>50</v>
      </c>
      <c r="R34" s="7" t="s">
        <v>62</v>
      </c>
      <c r="S34" s="7" t="s">
        <v>60</v>
      </c>
      <c r="T34" s="7" t="s">
        <v>62</v>
      </c>
      <c r="U34" s="1">
        <v>0</v>
      </c>
      <c r="V34" s="7" t="s">
        <v>62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22</v>
      </c>
      <c r="AI34" s="1">
        <f>COUNTIF(AI2:AI31,"x")</f>
        <v>5</v>
      </c>
      <c r="AJ34" s="1">
        <f>COUNTIF(AJ2:AJ31,"x")</f>
        <v>6</v>
      </c>
      <c r="AK34" s="1">
        <f>COUNTIF(AK2:AK31,"x")</f>
        <v>30</v>
      </c>
      <c r="AL34" s="1">
        <f>COUNTIF(AM2:AM31,"x")</f>
        <v>0</v>
      </c>
      <c r="AM34" s="22">
        <f>COUNTIF(AM2:AM31,"x")</f>
        <v>0</v>
      </c>
      <c r="AN34" s="34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4</v>
      </c>
      <c r="D35" s="1">
        <f t="shared" si="7"/>
        <v>5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5</v>
      </c>
      <c r="I35" s="1">
        <f t="shared" si="7"/>
        <v>5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4</v>
      </c>
      <c r="P35" s="1">
        <f>COUNTIF(P2:P32,"Trauma")+COUNTIF(P2:P32,"CHP*")+COUNTIF(P2:P32,"SHY")+COUNTIF(P2:P32,"CT")+COUNTIF(P2:P32,"6FG")+COUNTIF(P2:P32,"VASC")+COUNTIF(P2:P32,"SMH")</f>
        <v>5</v>
      </c>
      <c r="Q35" s="2">
        <f t="shared" ref="Q35:V35" si="8">COUNTIF(Q2:Q32,"Trauma")+COUNTIF(Q2:Q32,"CHP*")+COUNTIF(Q2:Q32,"SHY")+COUNTIF(Q2:Q32,"CT")+COUNTIF(Q2:Q32,"6FG")+COUNTIF(Q2:Q32,"VASC")+COUNTIF(Q2:Q32,"SMH")</f>
        <v>4</v>
      </c>
      <c r="R35" s="1">
        <f t="shared" si="8"/>
        <v>0</v>
      </c>
      <c r="S35" s="1">
        <f t="shared" si="8"/>
        <v>6</v>
      </c>
      <c r="T35" s="1">
        <f t="shared" si="8"/>
        <v>0</v>
      </c>
      <c r="U35" s="1">
        <f t="shared" si="8"/>
        <v>0</v>
      </c>
      <c r="V35" s="1">
        <f t="shared" si="8"/>
        <v>0</v>
      </c>
      <c r="W35" s="3"/>
      <c r="Z35" s="35"/>
      <c r="AA35" s="35"/>
      <c r="AB35" s="35"/>
      <c r="AC35" s="35"/>
      <c r="AD35" s="35"/>
      <c r="AE35" s="35"/>
      <c r="AF35" s="35"/>
      <c r="AL35" s="7"/>
      <c r="AM35" s="36"/>
      <c r="AN35" s="33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4</v>
      </c>
      <c r="P36" s="9">
        <f t="shared" si="9"/>
        <v>5</v>
      </c>
      <c r="Q36" s="38">
        <f t="shared" si="9"/>
        <v>4</v>
      </c>
      <c r="R36" s="9">
        <f t="shared" si="9"/>
        <v>0</v>
      </c>
      <c r="S36" s="9">
        <f t="shared" si="9"/>
        <v>6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52</v>
      </c>
      <c r="AN36" s="33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38">
        <f t="shared" si="11"/>
        <v>0</v>
      </c>
      <c r="R37" s="9">
        <f t="shared" si="11"/>
        <v>0</v>
      </c>
      <c r="S37" s="9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82</v>
      </c>
      <c r="AN37" s="33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38"/>
      <c r="R38" s="9"/>
      <c r="S38" s="9"/>
      <c r="T38" s="9"/>
      <c r="U38" s="9"/>
      <c r="V38" s="9"/>
      <c r="X38" s="10" t="s">
        <v>45</v>
      </c>
      <c r="Y38" s="3">
        <f>SUM(C36:S36)</f>
        <v>70</v>
      </c>
      <c r="AN38" s="33"/>
    </row>
    <row r="39" spans="1:40" x14ac:dyDescent="0.4">
      <c r="A39" s="1" t="s">
        <v>2</v>
      </c>
      <c r="B39" s="9"/>
      <c r="C39" s="9">
        <f t="shared" ref="C39:V43" si="12">COUNTIF(C$2:C$32,$A39)</f>
        <v>2</v>
      </c>
      <c r="D39" s="9">
        <f t="shared" si="12"/>
        <v>2</v>
      </c>
      <c r="E39" s="9">
        <f t="shared" si="12"/>
        <v>0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2</v>
      </c>
      <c r="N39" s="9">
        <f t="shared" si="12"/>
        <v>1</v>
      </c>
      <c r="O39" s="9">
        <f t="shared" si="12"/>
        <v>0</v>
      </c>
      <c r="P39" s="9">
        <f t="shared" si="12"/>
        <v>1</v>
      </c>
      <c r="Q39" s="38">
        <f t="shared" si="12"/>
        <v>2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3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1</v>
      </c>
      <c r="G40" s="9">
        <f t="shared" si="13"/>
        <v>0</v>
      </c>
      <c r="H40" s="9">
        <f t="shared" si="13"/>
        <v>1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38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3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1</v>
      </c>
      <c r="O41" s="9">
        <f t="shared" si="12"/>
        <v>2</v>
      </c>
      <c r="P41" s="9">
        <f t="shared" si="12"/>
        <v>1</v>
      </c>
      <c r="Q41" s="38">
        <f t="shared" si="12"/>
        <v>1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3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3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38">
        <f t="shared" si="12"/>
        <v>1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3"/>
    </row>
    <row r="43" spans="1:40" x14ac:dyDescent="0.4">
      <c r="A43" s="1" t="s">
        <v>3</v>
      </c>
      <c r="B43" s="9"/>
      <c r="C43" s="9">
        <f t="shared" si="13"/>
        <v>0</v>
      </c>
      <c r="D43" s="9">
        <f t="shared" si="12"/>
        <v>1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3</v>
      </c>
      <c r="K43" s="9">
        <f t="shared" si="12"/>
        <v>0</v>
      </c>
      <c r="L43" s="9">
        <f t="shared" si="12"/>
        <v>0</v>
      </c>
      <c r="M43" s="9">
        <f t="shared" si="12"/>
        <v>1</v>
      </c>
      <c r="N43" s="9">
        <f t="shared" si="12"/>
        <v>0</v>
      </c>
      <c r="O43" s="9">
        <f t="shared" si="12"/>
        <v>0</v>
      </c>
      <c r="P43" s="9">
        <f t="shared" si="12"/>
        <v>1</v>
      </c>
      <c r="Q43" s="38">
        <f t="shared" si="12"/>
        <v>0</v>
      </c>
      <c r="R43" s="9">
        <f t="shared" si="12"/>
        <v>0</v>
      </c>
      <c r="S43" s="9">
        <f t="shared" si="12"/>
        <v>6</v>
      </c>
      <c r="T43" s="9">
        <f t="shared" si="12"/>
        <v>0</v>
      </c>
      <c r="U43" s="9">
        <f t="shared" si="12"/>
        <v>0</v>
      </c>
      <c r="V43" s="9">
        <f t="shared" si="12"/>
        <v>0</v>
      </c>
      <c r="Y43" s="10" t="s">
        <v>76</v>
      </c>
      <c r="AN43" s="33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0</v>
      </c>
      <c r="H44" s="1">
        <f t="shared" si="15"/>
        <v>1</v>
      </c>
      <c r="I44" s="1">
        <f t="shared" si="15"/>
        <v>1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1</v>
      </c>
      <c r="P44" s="1">
        <f t="shared" si="15"/>
        <v>0</v>
      </c>
      <c r="Q44" s="2">
        <f t="shared" si="15"/>
        <v>1</v>
      </c>
      <c r="R44" s="1">
        <f t="shared" si="15"/>
        <v>0</v>
      </c>
      <c r="S44" s="1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3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1</v>
      </c>
      <c r="D45" s="1">
        <f t="shared" ref="D45:V45" si="17">COUNTIFS(D2:D32,"Trauma",$A2:$A32,$A45)+COUNTIFS(D2:D32,"CHP*",$A2:$A32,$A45)+COUNTIFS(D2:D32,"SHY",$A2:$A32,$A45)+COUNTIFS(D2:D32,"CT",$A2:$A32,$A45)</f>
        <v>1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2">
        <f t="shared" si="17"/>
        <v>0</v>
      </c>
      <c r="R45" s="1">
        <f t="shared" si="17"/>
        <v>0</v>
      </c>
      <c r="S45" s="1">
        <f t="shared" si="17"/>
        <v>2</v>
      </c>
      <c r="T45" s="1">
        <f t="shared" si="17"/>
        <v>0</v>
      </c>
      <c r="U45" s="1">
        <f t="shared" si="17"/>
        <v>0</v>
      </c>
      <c r="V45" s="1">
        <f t="shared" si="17"/>
        <v>0</v>
      </c>
      <c r="AN45" s="33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1</v>
      </c>
      <c r="D46" s="1">
        <f t="shared" ref="D46:V46" si="19">COUNTIFS(D3:D33,"Trauma",$A3:$A33,$A46)+COUNTIFS(D3:D33,"CHP*",$A3:$A33,$A46)+COUNTIFS(D3:D33,"SHY",$A3:$A33,$A46)+COUNTIFS(D3:D33,"CT",$A3:$A33,$A46)</f>
        <v>0</v>
      </c>
      <c r="E46" s="1">
        <f t="shared" si="19"/>
        <v>0</v>
      </c>
      <c r="F46" s="1">
        <f t="shared" si="19"/>
        <v>0</v>
      </c>
      <c r="G46" s="1">
        <f t="shared" si="19"/>
        <v>1</v>
      </c>
      <c r="H46" s="1">
        <f t="shared" si="19"/>
        <v>1</v>
      </c>
      <c r="I46" s="1">
        <f t="shared" si="19"/>
        <v>0</v>
      </c>
      <c r="J46" s="1">
        <f t="shared" si="19"/>
        <v>2</v>
      </c>
      <c r="K46" s="1">
        <f t="shared" si="19"/>
        <v>1</v>
      </c>
      <c r="L46" s="1">
        <f t="shared" si="19"/>
        <v>0</v>
      </c>
      <c r="M46" s="1">
        <f t="shared" si="19"/>
        <v>1</v>
      </c>
      <c r="N46" s="1">
        <f t="shared" si="19"/>
        <v>1</v>
      </c>
      <c r="O46" s="1">
        <f t="shared" si="19"/>
        <v>1</v>
      </c>
      <c r="P46" s="1">
        <f t="shared" si="19"/>
        <v>0</v>
      </c>
      <c r="Q46" s="2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3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0</v>
      </c>
      <c r="F47" s="1">
        <f t="shared" si="21"/>
        <v>0</v>
      </c>
      <c r="G47" s="1">
        <f t="shared" si="21"/>
        <v>1</v>
      </c>
      <c r="H47" s="1">
        <f t="shared" si="21"/>
        <v>2</v>
      </c>
      <c r="I47" s="1">
        <f t="shared" si="21"/>
        <v>2</v>
      </c>
      <c r="J47" s="1">
        <f t="shared" si="21"/>
        <v>2</v>
      </c>
      <c r="K47" s="1">
        <f t="shared" si="21"/>
        <v>1</v>
      </c>
      <c r="L47" s="1">
        <f t="shared" si="21"/>
        <v>2</v>
      </c>
      <c r="M47" s="1">
        <f t="shared" si="21"/>
        <v>2</v>
      </c>
      <c r="N47" s="1">
        <f t="shared" si="21"/>
        <v>1</v>
      </c>
      <c r="O47" s="1">
        <f t="shared" si="21"/>
        <v>2</v>
      </c>
      <c r="P47" s="1">
        <f t="shared" si="21"/>
        <v>0</v>
      </c>
      <c r="Q47" s="2">
        <f t="shared" si="21"/>
        <v>1</v>
      </c>
      <c r="R47" s="1">
        <f t="shared" si="21"/>
        <v>0</v>
      </c>
      <c r="S47" s="1">
        <f t="shared" si="21"/>
        <v>2</v>
      </c>
      <c r="T47" s="1">
        <f t="shared" si="21"/>
        <v>0</v>
      </c>
      <c r="U47" s="1">
        <f t="shared" si="21"/>
        <v>0</v>
      </c>
      <c r="V47" s="1">
        <f t="shared" si="21"/>
        <v>0</v>
      </c>
      <c r="AN47" s="33"/>
    </row>
    <row r="48" spans="1:40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0.30769230769230771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0.53846153846153844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0.46153846153846156</v>
      </c>
      <c r="I48" s="11">
        <f>SUMPRODUCT(COUNTIFS($A$2:$A$32,{"Fri";"Sat";"Sun"},I$2:I$32,"x"))/$B48</f>
        <v>0.76923076923076927</v>
      </c>
      <c r="J48" s="11">
        <f>SUMPRODUCT(COUNTIFS($A$2:$A$32,{"Fri";"Sat";"Sun"},J$2:J$32,"x"))/$B48</f>
        <v>0.46153846153846156</v>
      </c>
      <c r="K48" s="11">
        <f>SUMPRODUCT(COUNTIFS($A$2:$A$32,{"Fri";"Sat";"Sun"},K$2:K$32,"x"))/$B48</f>
        <v>0.69230769230769229</v>
      </c>
      <c r="L48" s="11">
        <f>SUMPRODUCT(COUNTIFS($A$2:$A$32,{"Fri";"Sat";"Sun"},L$2:L$32,"x"))/$B48</f>
        <v>0.23076923076923078</v>
      </c>
      <c r="M48" s="11">
        <f>SUMPRODUCT(COUNTIFS($A$2:$A$32,{"Fri";"Sat";"Sun"},M$2:M$32,"x"))/$B48</f>
        <v>0.46153846153846156</v>
      </c>
      <c r="N48" s="11">
        <f>SUMPRODUCT(COUNTIFS($A$2:$A$32,{"Fri";"Sat";"Sun"},N$2:N$32,"x"))/$B48</f>
        <v>0.76923076923076927</v>
      </c>
      <c r="O48" s="11">
        <f>SUMPRODUCT(COUNTIFS($A$2:$A$32,{"Fri";"Sat";"Sun"},O$2:O$32,"x"))/$B48</f>
        <v>7.6923076923076927E-2</v>
      </c>
      <c r="P48" s="11">
        <f>SUMPRODUCT(COUNTIFS($A$2:$A$32,{"Fri";"Sat";"Sun"},P$2:P$32,"x"))/$B48</f>
        <v>0.38461538461538464</v>
      </c>
      <c r="Q48" s="44">
        <f>SUMPRODUCT(COUNTIFS($A$2:$A$32,{"Fri";"Sat";"Sun"},Q$2:Q$32,"x"))/$B48</f>
        <v>0.61538461538461542</v>
      </c>
      <c r="R48" s="11">
        <f>SUMPRODUCT(COUNTIFS($A$2:$A$32,{"Fri";"Sat";"Sun"},R$2:R$32,"x"))/$B48</f>
        <v>1</v>
      </c>
      <c r="S48" s="11">
        <f>SUMPRODUCT(COUNTIFS($A$2:$A$32,{"Fri";"Sat";"Sun"},S$2:S$32,"x"))/$B48</f>
        <v>0.69230769230769229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7"/>
    </row>
    <row r="49" spans="1:40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V49" si="22">COUNTIF(C$2:C$32,"x")/$B49</f>
        <v>0.3</v>
      </c>
      <c r="D49" s="11">
        <f t="shared" si="22"/>
        <v>0.16666666666666666</v>
      </c>
      <c r="E49" s="11">
        <f t="shared" si="22"/>
        <v>0.6333333333333333</v>
      </c>
      <c r="F49" s="11">
        <f t="shared" si="22"/>
        <v>0.36666666666666664</v>
      </c>
      <c r="G49" s="11">
        <f t="shared" si="22"/>
        <v>0.53333333333333333</v>
      </c>
      <c r="H49" s="11">
        <f t="shared" si="22"/>
        <v>0.3</v>
      </c>
      <c r="I49" s="11">
        <f t="shared" si="22"/>
        <v>0.6333333333333333</v>
      </c>
      <c r="J49" s="11">
        <f t="shared" si="22"/>
        <v>0.6333333333333333</v>
      </c>
      <c r="K49" s="11">
        <f t="shared" si="22"/>
        <v>0.5</v>
      </c>
      <c r="L49" s="11">
        <f t="shared" si="22"/>
        <v>0.26666666666666666</v>
      </c>
      <c r="M49" s="11">
        <f t="shared" si="22"/>
        <v>0.56666666666666665</v>
      </c>
      <c r="N49" s="11">
        <f t="shared" si="22"/>
        <v>0.56666666666666665</v>
      </c>
      <c r="O49" s="11">
        <f t="shared" si="22"/>
        <v>3.3333333333333333E-2</v>
      </c>
      <c r="P49" s="11">
        <f t="shared" si="22"/>
        <v>0.33333333333333331</v>
      </c>
      <c r="Q49" s="44">
        <f t="shared" si="22"/>
        <v>0.43333333333333335</v>
      </c>
      <c r="R49" s="11">
        <f t="shared" si="22"/>
        <v>1</v>
      </c>
      <c r="S49" s="11">
        <f t="shared" si="22"/>
        <v>0.7</v>
      </c>
      <c r="T49" s="11">
        <f t="shared" si="22"/>
        <v>1</v>
      </c>
      <c r="U49" s="11">
        <f t="shared" si="22"/>
        <v>1</v>
      </c>
      <c r="V49" s="11">
        <f t="shared" si="22"/>
        <v>1</v>
      </c>
      <c r="AN49" s="33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45" t="s">
        <v>40</v>
      </c>
      <c r="R50" s="12"/>
      <c r="S50" s="12" t="s">
        <v>42</v>
      </c>
      <c r="T50" s="12"/>
      <c r="AN50" s="33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53</v>
      </c>
      <c r="K51" s="12"/>
      <c r="L51" s="12"/>
      <c r="M51" s="12"/>
      <c r="O51" s="12"/>
      <c r="P51" s="12"/>
      <c r="R51" s="12"/>
      <c r="AN51" s="33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55</v>
      </c>
      <c r="J52" s="12"/>
      <c r="K52" s="12"/>
      <c r="L52" s="12"/>
      <c r="M52" s="12" t="s">
        <v>61</v>
      </c>
      <c r="N52" s="12"/>
      <c r="O52" s="12"/>
      <c r="P52" s="12"/>
      <c r="Q52" s="45"/>
      <c r="R52" s="12"/>
      <c r="S52" s="12"/>
      <c r="T52" s="12" t="s">
        <v>54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56</v>
      </c>
      <c r="J53" s="12"/>
      <c r="K53" s="12"/>
      <c r="L53" s="12"/>
      <c r="M53" s="12"/>
      <c r="N53" s="12"/>
      <c r="O53" s="12"/>
      <c r="P53" s="12"/>
      <c r="Q53" s="45"/>
      <c r="R53" s="12"/>
      <c r="S53" s="12"/>
      <c r="T53" s="12"/>
    </row>
    <row r="54" spans="1:40" x14ac:dyDescent="0.4">
      <c r="C54" s="12"/>
    </row>
    <row r="55" spans="1:40" x14ac:dyDescent="0.4">
      <c r="J55" s="3" t="s">
        <v>63</v>
      </c>
    </row>
    <row r="57" spans="1:40" x14ac:dyDescent="0.4">
      <c r="C57" s="8"/>
    </row>
  </sheetData>
  <conditionalFormatting sqref="V4:V32 S2:T33 C4:R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H2:T3 P3:P15 M3:M16 L3:L12 N3:N8 K3:K11 C2:G32 V2:V32 Q3:T32 H4:R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G3:G7 M23:M24 E3:E5 C2:R3 P3:P15 N3:N8 K3:K11 V2:V32 L3:M17 Q3:R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V4:V32 S2:T33 C4:R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V2:V32 C2:T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2018-04-11T14:47:25Z</dcterms:modified>
</cp:coreProperties>
</file>