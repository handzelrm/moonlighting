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Q116C7lP6WyTcqTcQKQpLEW7qz88qZyy4uz56pWHeKOteL2YYTYrRADtLO9W+yb5LO5ZbOG3k9Nbry72gsMcuA==" workbookSaltValue="6PiW3qfm1CE+NF8Zq1Khew==" workbookSpinCount="100000" lockStructure="1"/>
  <bookViews>
    <workbookView xWindow="0" yWindow="0" windowWidth="15617" windowHeight="3634" xr2:uid="{00000000-000D-0000-FFFF-FFFF00000000}"/>
  </bookViews>
  <sheets>
    <sheet name="August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Z3" i="5" l="1"/>
  <c r="AA3" i="5"/>
  <c r="Z4" i="5"/>
  <c r="AA4" i="5"/>
  <c r="Z5" i="5"/>
  <c r="AA5" i="5"/>
  <c r="Z6" i="5"/>
  <c r="AA6" i="5"/>
  <c r="Z7" i="5"/>
  <c r="AA7" i="5"/>
  <c r="Z8" i="5"/>
  <c r="AA8" i="5"/>
  <c r="Z9" i="5"/>
  <c r="AA9" i="5"/>
  <c r="Z10" i="5"/>
  <c r="AA10" i="5"/>
  <c r="Z11" i="5"/>
  <c r="AA11" i="5"/>
  <c r="Z12" i="5"/>
  <c r="AA12" i="5"/>
  <c r="Z13" i="5"/>
  <c r="AA13" i="5"/>
  <c r="Z14" i="5"/>
  <c r="AA14" i="5"/>
  <c r="Z15" i="5"/>
  <c r="AA15" i="5"/>
  <c r="Z16" i="5"/>
  <c r="AA16" i="5"/>
  <c r="Z17" i="5"/>
  <c r="AA17" i="5"/>
  <c r="Z18" i="5"/>
  <c r="AA18" i="5"/>
  <c r="Z19" i="5"/>
  <c r="AA19" i="5"/>
  <c r="Z20" i="5"/>
  <c r="AA20" i="5"/>
  <c r="Z21" i="5"/>
  <c r="AA21" i="5"/>
  <c r="Z22" i="5"/>
  <c r="AA22" i="5"/>
  <c r="Z23" i="5"/>
  <c r="AA23" i="5"/>
  <c r="Z24" i="5"/>
  <c r="AA24" i="5"/>
  <c r="Z25" i="5"/>
  <c r="AA25" i="5"/>
  <c r="Z26" i="5"/>
  <c r="AA26" i="5"/>
  <c r="Z27" i="5"/>
  <c r="AA27" i="5"/>
  <c r="Z28" i="5"/>
  <c r="AA28" i="5"/>
  <c r="Z29" i="5"/>
  <c r="AA29" i="5"/>
  <c r="Z30" i="5"/>
  <c r="AA30" i="5"/>
  <c r="Z31" i="5"/>
  <c r="AA31" i="5"/>
  <c r="Z1" i="5"/>
  <c r="AA1" i="5"/>
  <c r="AA2" i="5"/>
  <c r="D35" i="3" l="1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C35" i="3"/>
  <c r="AB3" i="3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2" i="3"/>
  <c r="B48" i="3"/>
  <c r="S48" i="3"/>
  <c r="B49" i="3"/>
  <c r="S49" i="3"/>
  <c r="V33" i="5"/>
  <c r="W33" i="5"/>
  <c r="V34" i="5"/>
  <c r="W34" i="5"/>
  <c r="V35" i="5"/>
  <c r="W35" i="5"/>
  <c r="S36" i="3"/>
  <c r="T36" i="3"/>
  <c r="T37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5"/>
  <c r="N35" i="5"/>
  <c r="O35" i="5"/>
  <c r="P35" i="5"/>
  <c r="Q35" i="5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Q47" i="3"/>
  <c r="R45" i="3"/>
  <c r="L46" i="3"/>
  <c r="M46" i="3"/>
  <c r="N46" i="3"/>
  <c r="O46" i="3"/>
  <c r="P46" i="3"/>
  <c r="R46" i="3"/>
  <c r="X12" i="3"/>
  <c r="W12" i="5"/>
  <c r="W3" i="3"/>
  <c r="V3" i="5"/>
  <c r="X3" i="3"/>
  <c r="W3" i="5"/>
  <c r="Y3" i="3"/>
  <c r="X3" i="5"/>
  <c r="Z3" i="3"/>
  <c r="Y3" i="5"/>
  <c r="AA3" i="3"/>
  <c r="W4" i="3"/>
  <c r="V4" i="5"/>
  <c r="X4" i="3"/>
  <c r="W4" i="5"/>
  <c r="Y4" i="3"/>
  <c r="X4" i="5"/>
  <c r="Z4" i="3"/>
  <c r="AA4" i="3"/>
  <c r="W5" i="3"/>
  <c r="V5" i="5"/>
  <c r="X5" i="3"/>
  <c r="W5" i="5"/>
  <c r="Y5" i="3"/>
  <c r="X5" i="5"/>
  <c r="Z5" i="3"/>
  <c r="Y5" i="5"/>
  <c r="AA5" i="3"/>
  <c r="W6" i="3"/>
  <c r="V6" i="5"/>
  <c r="X6" i="3"/>
  <c r="W6" i="5"/>
  <c r="Y6" i="3"/>
  <c r="X6" i="5"/>
  <c r="Z6" i="3"/>
  <c r="Y6" i="5"/>
  <c r="AA6" i="3"/>
  <c r="W7" i="3"/>
  <c r="V7" i="5"/>
  <c r="X7" i="3"/>
  <c r="W7" i="5"/>
  <c r="Y7" i="3"/>
  <c r="X7" i="5"/>
  <c r="Z7" i="3"/>
  <c r="Y7" i="5"/>
  <c r="AA7" i="3"/>
  <c r="W8" i="3"/>
  <c r="V8" i="5"/>
  <c r="X8" i="3"/>
  <c r="W8" i="5"/>
  <c r="Y8" i="3"/>
  <c r="X8" i="5"/>
  <c r="Z8" i="3"/>
  <c r="Y8" i="5"/>
  <c r="AA8" i="3"/>
  <c r="W9" i="3"/>
  <c r="V9" i="5"/>
  <c r="X9" i="3"/>
  <c r="W9" i="5"/>
  <c r="Y9" i="3"/>
  <c r="X9" i="5"/>
  <c r="Z9" i="3"/>
  <c r="Y9" i="5"/>
  <c r="AA9" i="3"/>
  <c r="W10" i="3"/>
  <c r="V10" i="5"/>
  <c r="X10" i="3"/>
  <c r="W10" i="5"/>
  <c r="Y10" i="3"/>
  <c r="X10" i="5"/>
  <c r="Z10" i="3"/>
  <c r="Y10" i="5"/>
  <c r="AA10" i="3"/>
  <c r="W11" i="3"/>
  <c r="V11" i="5"/>
  <c r="X11" i="3"/>
  <c r="W11" i="5"/>
  <c r="Y11" i="3"/>
  <c r="X11" i="5"/>
  <c r="Z11" i="3"/>
  <c r="Y11" i="5"/>
  <c r="AA11" i="3"/>
  <c r="W12" i="3"/>
  <c r="V12" i="5"/>
  <c r="Y12" i="3"/>
  <c r="X12" i="5"/>
  <c r="Z12" i="3"/>
  <c r="Y12" i="5"/>
  <c r="AA12" i="3"/>
  <c r="W13" i="3"/>
  <c r="V13" i="5"/>
  <c r="X13" i="3"/>
  <c r="W13" i="5"/>
  <c r="Y13" i="3"/>
  <c r="X13" i="5"/>
  <c r="Z13" i="3"/>
  <c r="Y13" i="5"/>
  <c r="AA13" i="3"/>
  <c r="W14" i="3"/>
  <c r="V14" i="5"/>
  <c r="X14" i="3"/>
  <c r="W14" i="5"/>
  <c r="Y14" i="3"/>
  <c r="Z14" i="3"/>
  <c r="Y14" i="5"/>
  <c r="AA14" i="3"/>
  <c r="W15" i="3"/>
  <c r="V15" i="5"/>
  <c r="X15" i="3"/>
  <c r="W15" i="5"/>
  <c r="Y15" i="3"/>
  <c r="X15" i="5"/>
  <c r="Z15" i="3"/>
  <c r="Y15" i="5"/>
  <c r="AA15" i="3"/>
  <c r="W16" i="3"/>
  <c r="V16" i="5"/>
  <c r="X16" i="3"/>
  <c r="W16" i="5"/>
  <c r="Y16" i="3"/>
  <c r="X16" i="5"/>
  <c r="Z16" i="3"/>
  <c r="Y16" i="5"/>
  <c r="AA16" i="3"/>
  <c r="W17" i="3"/>
  <c r="V17" i="5"/>
  <c r="X17" i="3"/>
  <c r="W17" i="5"/>
  <c r="Y17" i="3"/>
  <c r="X17" i="5"/>
  <c r="Z17" i="3"/>
  <c r="Y17" i="5"/>
  <c r="AA17" i="3"/>
  <c r="W18" i="3"/>
  <c r="V18" i="5"/>
  <c r="X18" i="3"/>
  <c r="W18" i="5"/>
  <c r="Y18" i="3"/>
  <c r="X18" i="5"/>
  <c r="Z18" i="3"/>
  <c r="Y18" i="5"/>
  <c r="AA18" i="3"/>
  <c r="W19" i="3"/>
  <c r="V19" i="5"/>
  <c r="X19" i="3"/>
  <c r="W19" i="5"/>
  <c r="Y19" i="3"/>
  <c r="X19" i="5"/>
  <c r="Z19" i="3"/>
  <c r="Y19" i="5"/>
  <c r="AA19" i="3"/>
  <c r="W20" i="3"/>
  <c r="V20" i="5"/>
  <c r="X20" i="3"/>
  <c r="W20" i="5"/>
  <c r="Y20" i="3"/>
  <c r="X20" i="5"/>
  <c r="Z20" i="3"/>
  <c r="Y20" i="5"/>
  <c r="AA20" i="3"/>
  <c r="W21" i="3"/>
  <c r="V21" i="5"/>
  <c r="X21" i="3"/>
  <c r="W21" i="5"/>
  <c r="Y21" i="3"/>
  <c r="X21" i="5"/>
  <c r="Z21" i="3"/>
  <c r="Y21" i="5"/>
  <c r="AA21" i="3"/>
  <c r="W22" i="3"/>
  <c r="V22" i="5"/>
  <c r="X22" i="3"/>
  <c r="W22" i="5"/>
  <c r="Y22" i="3"/>
  <c r="X22" i="5"/>
  <c r="Z22" i="3"/>
  <c r="Y22" i="5"/>
  <c r="AA22" i="3"/>
  <c r="W23" i="3"/>
  <c r="V23" i="5"/>
  <c r="X23" i="3"/>
  <c r="W23" i="5"/>
  <c r="Y23" i="3"/>
  <c r="X23" i="5"/>
  <c r="Z23" i="3"/>
  <c r="Y23" i="5"/>
  <c r="AA23" i="3"/>
  <c r="W24" i="3"/>
  <c r="V24" i="5"/>
  <c r="X24" i="3"/>
  <c r="W24" i="5"/>
  <c r="Y24" i="3"/>
  <c r="X24" i="5"/>
  <c r="Z24" i="3"/>
  <c r="Y24" i="5"/>
  <c r="AA24" i="3"/>
  <c r="W25" i="3"/>
  <c r="V25" i="5"/>
  <c r="X25" i="3"/>
  <c r="W25" i="5"/>
  <c r="Y25" i="3"/>
  <c r="X25" i="5"/>
  <c r="Z25" i="3"/>
  <c r="Y25" i="5"/>
  <c r="AA25" i="3"/>
  <c r="W26" i="3"/>
  <c r="V26" i="5"/>
  <c r="X26" i="3"/>
  <c r="W26" i="5"/>
  <c r="Y26" i="3"/>
  <c r="X26" i="5"/>
  <c r="Z26" i="3"/>
  <c r="Y26" i="5"/>
  <c r="AA26" i="3"/>
  <c r="W27" i="3"/>
  <c r="V27" i="5"/>
  <c r="X27" i="3"/>
  <c r="W27" i="5"/>
  <c r="Y27" i="3"/>
  <c r="X27" i="5"/>
  <c r="Z27" i="3"/>
  <c r="Y27" i="5"/>
  <c r="AA27" i="3"/>
  <c r="W28" i="3"/>
  <c r="V28" i="5"/>
  <c r="X28" i="3"/>
  <c r="W28" i="5"/>
  <c r="Y28" i="3"/>
  <c r="X28" i="5"/>
  <c r="Z28" i="3"/>
  <c r="Y28" i="5"/>
  <c r="AA28" i="3"/>
  <c r="W29" i="3"/>
  <c r="V29" i="5"/>
  <c r="X29" i="3"/>
  <c r="W29" i="5"/>
  <c r="Y29" i="3"/>
  <c r="X29" i="5"/>
  <c r="Z29" i="3"/>
  <c r="Y29" i="5"/>
  <c r="AA29" i="3"/>
  <c r="W30" i="3"/>
  <c r="V30" i="5"/>
  <c r="X30" i="3"/>
  <c r="W30" i="5"/>
  <c r="Y30" i="3"/>
  <c r="X30" i="5"/>
  <c r="Z30" i="3"/>
  <c r="AA30" i="3"/>
  <c r="W31" i="3"/>
  <c r="V31" i="5"/>
  <c r="X31" i="3"/>
  <c r="W31" i="5"/>
  <c r="Y31" i="3"/>
  <c r="X31" i="5"/>
  <c r="Z31" i="3"/>
  <c r="Y31" i="5"/>
  <c r="AA31" i="3"/>
  <c r="AA2" i="3"/>
  <c r="Z2" i="5"/>
  <c r="Z2" i="3"/>
  <c r="Y2" i="5"/>
  <c r="Y2" i="3"/>
  <c r="X2" i="5"/>
  <c r="X2" i="3"/>
  <c r="W2" i="5"/>
  <c r="W2" i="3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H34" i="3"/>
  <c r="AG34" i="3"/>
  <c r="AF34" i="3"/>
  <c r="AE34" i="3"/>
  <c r="AD34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C35" i="5"/>
  <c r="D35" i="5"/>
  <c r="E35" i="5"/>
  <c r="F35" i="5"/>
  <c r="G35" i="5"/>
  <c r="I37" i="3"/>
  <c r="J35" i="5"/>
  <c r="Y4" i="5"/>
  <c r="X14" i="5"/>
  <c r="Y30" i="5"/>
  <c r="X32" i="3"/>
  <c r="W32" i="5"/>
  <c r="Y32" i="3"/>
  <c r="X32" i="5"/>
  <c r="Z32" i="3"/>
  <c r="Y32" i="5"/>
  <c r="AA32" i="3"/>
  <c r="Z32" i="5"/>
  <c r="W32" i="3"/>
  <c r="V32" i="5"/>
  <c r="S37" i="3"/>
  <c r="L37" i="3"/>
  <c r="E37" i="3"/>
  <c r="H37" i="3"/>
  <c r="X38" i="3"/>
  <c r="H35" i="5"/>
  <c r="D37" i="3"/>
  <c r="N37" i="3"/>
  <c r="F37" i="3"/>
  <c r="M37" i="3"/>
  <c r="R47" i="3"/>
  <c r="R37" i="3"/>
  <c r="P47" i="3"/>
  <c r="P37" i="3"/>
  <c r="O47" i="3"/>
  <c r="O37" i="3"/>
  <c r="C47" i="3"/>
  <c r="C37" i="3"/>
  <c r="Q37" i="3"/>
  <c r="K37" i="3"/>
  <c r="K49" i="3"/>
  <c r="D49" i="3"/>
  <c r="T47" i="3"/>
  <c r="H47" i="3"/>
  <c r="D47" i="3"/>
  <c r="F47" i="3"/>
  <c r="N47" i="3"/>
  <c r="M47" i="3"/>
  <c r="G47" i="3"/>
  <c r="I47" i="3"/>
  <c r="E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<sst xmlns="http://schemas.openxmlformats.org/spreadsheetml/2006/main" count="506" uniqueCount="61">
  <si>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</si>
  <si>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</si>
  <si>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</si>
  <si>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</si>
  <si>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</si>
  <si>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</si>
  <si>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</si>
  <si>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</si>
  <si>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</si>
  <si>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</si>
  <si>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</si>
  <si>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</si>
  <si>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</si>
  <si>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</si>
  <si>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</si>
  <si>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</si>
  <si>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</si>
  <si>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</si>
  <si>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</si>
  <si>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</si>
  <si>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</si>
  <si>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</si>
  <si>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</si>
  <si>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</si>
  <si>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</si>
  <si>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</si>
  <si>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</si>
  <si>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</si>
  <si>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</si>
  <si>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</si>
  <si>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</si>
  <si>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</si>
  <si>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</si>
  <si>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</si>
  <si>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</si>
  <si>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</si>
  <si>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</si>
  <si>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</si>
  <si>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</si>
  <si>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</si>
  <si>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</si>
  <si>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</si>
  <si>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</si>
  <si>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</si>
  <si>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</si>
  <si>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</si>
  <si>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</si>
  <si>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</si>
  <si>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</si>
  <si>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</si>
  <si>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</si>
  <si>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</si>
  <si>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</si>
  <si>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</si>
  <si>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</si>
  <si>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</si>
  <si>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</si>
  <si>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</si>
  <si>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</si>
  <si>
    <t>6FG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</si>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</sst>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0" borderId="0" xfId="0" applyNumberFormat="1" applyFont="1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1" fillId="0" borderId="2" xfId="0" applyFon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" fillId="0" borderId="0" xfId="1002" applyFont="1" applyFill="1" applyProtection="1">
      <protection hidden="1"/>
    </xf>
    <xf numFmtId="0" fontId="12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2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12" sqref="H12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7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  <c r="AA1" s="13" t="str">
        <f>IF(ISBLANK(Master!AB1),"",Master!AB1)</f>
        <v>6FG</v>
      </c>
    </row>
    <row r="2" spans="1:27" x14ac:dyDescent="0.4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>CT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>Trauma</v>
      </c>
      <c r="R2" s="13" t="str">
        <f>IF(ISBLANK(Master!R2),"",Master!R2)</f>
        <v>x</v>
      </c>
      <c r="S2" s="13" t="str">
        <f>IF(ISBLANK(Master!S2),"",Master!S2)</f>
        <v>x</v>
      </c>
      <c r="T2" s="13" t="str">
        <f>IF(ISBLANK(Master!T2),"",Master!T2)</f>
        <v>x</v>
      </c>
      <c r="V2" s="13" t="str">
        <f>IF(ISBLANK(Master!W2),"",Master!W2)</f>
        <v>Myers</v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Van Der Windt</v>
      </c>
      <c r="AA2" s="13" t="str">
        <f>IF(ISBLANK(Master!AB2),"",Master!AB2)</f>
        <v/>
      </c>
    </row>
    <row r="3" spans="1:27" x14ac:dyDescent="0.4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>Trauma</v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>x</v>
      </c>
      <c r="T3" s="13" t="str">
        <f>IF(ISBLANK(Master!T3),"",Master!T3)</f>
        <v>x</v>
      </c>
      <c r="V3" s="13" t="str">
        <f>IF(ISBLANK(Master!W3),"",Master!W3)</f>
        <v>Dyer</v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  <c r="AA3" s="13" t="str">
        <f>IF(ISBLANK(Master!AB3),"",Master!AB3)</f>
        <v/>
      </c>
    </row>
    <row r="4" spans="1:27" x14ac:dyDescent="0.4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6FG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>SHY</v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>x</v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Huckaby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  <c r="AA4" s="13" t="str">
        <f>IF(ISBLANK(Master!AB4),"",Master!AB4)</f>
        <v>Siow</v>
      </c>
    </row>
    <row r="5" spans="1:27" x14ac:dyDescent="0.4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SHY</v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>CT</v>
      </c>
      <c r="R5" s="13" t="str">
        <f>IF(ISBLANK(Master!R5),"",Master!R5)</f>
        <v>x</v>
      </c>
      <c r="S5" s="13" t="str">
        <f>IF(ISBLANK(Master!S5),"",Master!S5)</f>
        <v>x</v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Van Der Windt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  <c r="AA5" s="13" t="str">
        <f>IF(ISBLANK(Master!AB5),"",Master!AB5)</f>
        <v/>
      </c>
    </row>
    <row r="6" spans="1:27" x14ac:dyDescent="0.4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>SHY</v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x</v>
      </c>
      <c r="K6" s="13" t="str">
        <f>IF(ISBLANK(Master!K6),"",Master!K6)</f>
        <v>CT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>CHP Jr.</v>
      </c>
      <c r="S6" s="13" t="str">
        <f>IF(ISBLANK(Master!S6),"",Master!S6)</f>
        <v>x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Yeh</v>
      </c>
      <c r="X6" s="13" t="str">
        <f>IF(ISBLANK(Master!Y6),"",Master!Y6)</f>
        <v/>
      </c>
      <c r="Y6" s="13" t="str">
        <f>IF(ISBLANK(Master!Z6),"",Master!Z6)</f>
        <v>Nicholson</v>
      </c>
      <c r="Z6" s="13" t="str">
        <f>IF(ISBLANK(Master!AA6),"",Master!AA6)</f>
        <v>Tam</v>
      </c>
      <c r="AA6" s="13" t="str">
        <f>IF(ISBLANK(Master!AB6),"",Master!AB6)</f>
        <v/>
      </c>
    </row>
    <row r="7" spans="1:27" x14ac:dyDescent="0.4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>x</v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Trauma</v>
      </c>
      <c r="N7" s="13" t="str">
        <f>IF(ISBLANK(Master!N7),"",Master!N7)</f>
        <v>CT</v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CHP Jr.</v>
      </c>
      <c r="R7" s="13" t="str">
        <f>IF(ISBLANK(Master!R7),"",Master!R7)</f>
        <v/>
      </c>
      <c r="S7" s="13" t="str">
        <f>IF(ISBLANK(Master!S7),"",Master!S7)</f>
        <v>x</v>
      </c>
      <c r="T7" s="13" t="str">
        <f>IF(ISBLANK(Master!T7),"",Master!T7)</f>
        <v>x</v>
      </c>
      <c r="V7" s="13" t="str">
        <f>IF(ISBLANK(Master!W7),"",Master!W7)</f>
        <v>Dadashzadeh</v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>Myers</v>
      </c>
      <c r="Z7" s="13" t="str">
        <f>IF(ISBLANK(Master!AA7),"",Master!AA7)</f>
        <v>Gallagher</v>
      </c>
      <c r="AA7" s="13" t="str">
        <f>IF(ISBLANK(Master!AB7),"",Master!AB7)</f>
        <v/>
      </c>
    </row>
    <row r="8" spans="1:27" x14ac:dyDescent="0.4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x</v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CT</v>
      </c>
      <c r="P8" s="13" t="str">
        <f>IF(ISBLANK(Master!P8),"",Master!P8)</f>
        <v>SHY</v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>x</v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Kulkarni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Huckaby</v>
      </c>
      <c r="AA8" s="13" t="str">
        <f>IF(ISBLANK(Master!AB8),"",Master!AB8)</f>
        <v/>
      </c>
    </row>
    <row r="9" spans="1:27" x14ac:dyDescent="0.4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>CT</v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Trauma</v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>x</v>
      </c>
      <c r="T9" s="13" t="str">
        <f>IF(ISBLANK(Master!T9),"",Master!T9)</f>
        <v>x</v>
      </c>
      <c r="V9" s="13" t="str">
        <f>IF(ISBLANK(Master!W9),"",Master!W9)</f>
        <v>Gallagher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Siow</v>
      </c>
      <c r="AA9" s="13" t="str">
        <f>IF(ISBLANK(Master!AB9),"",Master!AB9)</f>
        <v/>
      </c>
    </row>
    <row r="10" spans="1:27" x14ac:dyDescent="0.4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>Trauma</v>
      </c>
      <c r="I10" s="13" t="str">
        <f>IF(ISBLANK(Master!I10),"",Master!I10)</f>
        <v>x</v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Hill (Kirk)</v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  <c r="AA10" s="13" t="str">
        <f>IF(ISBLANK(Master!AB10),"",Master!AB10)</f>
        <v/>
      </c>
    </row>
    <row r="11" spans="1:27" x14ac:dyDescent="0.4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>SHY</v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Siow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  <c r="AA11" s="13" t="str">
        <f>IF(ISBLANK(Master!AB11),"",Master!AB11)</f>
        <v/>
      </c>
    </row>
    <row r="12" spans="1:27" x14ac:dyDescent="0.4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>Trauma</v>
      </c>
      <c r="F12" s="13" t="str">
        <f>IF(ISBLANK(Master!F12),"",Master!F12)</f>
        <v>x</v>
      </c>
      <c r="G12" s="13" t="str">
        <f>IF(ISBLANK(Master!G12),"",Master!G12)</f>
        <v>CHP Jr.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>CT</v>
      </c>
      <c r="R12" s="13" t="str">
        <f>IF(ISBLANK(Master!R12),"",Master!R12)</f>
        <v>SHY</v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Yeh</v>
      </c>
      <c r="W12" s="13" t="str">
        <f>IF(ISBLANK(Master!X12),"",Master!X12)</f>
        <v>Nicholson</v>
      </c>
      <c r="X12" s="13" t="str">
        <f>IF(ISBLANK(Master!Y12),"",Master!Y12)</f>
        <v/>
      </c>
      <c r="Y12" s="13" t="str">
        <f>IF(ISBLANK(Master!Z12),"",Master!Z12)</f>
        <v>Handzel</v>
      </c>
      <c r="Z12" s="13" t="str">
        <f>IF(ISBLANK(Master!AA12),"",Master!AA12)</f>
        <v>Myers</v>
      </c>
      <c r="AA12" s="13" t="str">
        <f>IF(ISBLANK(Master!AB12),"",Master!AB12)</f>
        <v/>
      </c>
    </row>
    <row r="13" spans="1:27" x14ac:dyDescent="0.4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>CT</v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SHY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Tam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Griepentrog</v>
      </c>
      <c r="AA13" s="13" t="str">
        <f>IF(ISBLANK(Master!AB13),"",Master!AB13)</f>
        <v/>
      </c>
    </row>
    <row r="14" spans="1:27" x14ac:dyDescent="0.4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>CT</v>
      </c>
      <c r="H14" s="13" t="str">
        <f>IF(ISBLANK(Master!H14),"",Master!H14)</f>
        <v/>
      </c>
      <c r="I14" s="13" t="str">
        <f>IF(ISBLANK(Master!I14),"",Master!I14)</f>
        <v>Trauma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SHY</v>
      </c>
      <c r="O14" s="13" t="str">
        <f>IF(ISBLANK(Master!O14),"",Master!O14)</f>
        <v/>
      </c>
      <c r="P14" s="13" t="str">
        <f>IF(ISBLANK(Master!P14),"",Master!P14)</f>
        <v>CHP Jr.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Okolo</v>
      </c>
      <c r="W14" s="13" t="str">
        <f>IF(ISBLANK(Master!X14),"",Master!X14)</f>
        <v>Gallagher</v>
      </c>
      <c r="X14" s="13" t="str">
        <f>IF(ISBLANK(Master!Y14),"",Master!Y14)</f>
        <v/>
      </c>
      <c r="Y14" s="13" t="str">
        <f>IF(ISBLANK(Master!Z14),"",Master!Z14)</f>
        <v>Kulkarni</v>
      </c>
      <c r="Z14" s="13" t="str">
        <f>IF(ISBLANK(Master!AA14),"",Master!AA14)</f>
        <v>Handzel</v>
      </c>
      <c r="AA14" s="13" t="str">
        <f>IF(ISBLANK(Master!AB14),"",Master!AB14)</f>
        <v/>
      </c>
    </row>
    <row r="15" spans="1:27" x14ac:dyDescent="0.4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>x</v>
      </c>
      <c r="H15" s="13" t="str">
        <f>IF(ISBLANK(Master!H15),"",Master!H15)</f>
        <v/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>SHY</v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>CT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Cyr</v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Nicholson</v>
      </c>
      <c r="AA15" s="13" t="str">
        <f>IF(ISBLANK(Master!AB15),"",Master!AB15)</f>
        <v/>
      </c>
    </row>
    <row r="16" spans="1:27" x14ac:dyDescent="0.4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>x</v>
      </c>
      <c r="H16" s="13" t="str">
        <f>IF(ISBLANK(Master!H16),"",Master!H16)</f>
        <v>Trauma</v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/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>Hill (Kirk)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  <c r="AA16" s="13" t="str">
        <f>IF(ISBLANK(Master!AB16),"",Master!AB16)</f>
        <v/>
      </c>
    </row>
    <row r="17" spans="1:27" x14ac:dyDescent="0.4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>Trauma</v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Dadashzadeh</v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  <c r="AA17" s="13" t="str">
        <f>IF(ISBLANK(Master!AB17),"",Master!AB17)</f>
        <v/>
      </c>
    </row>
    <row r="18" spans="1:27" x14ac:dyDescent="0.4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>x</v>
      </c>
      <c r="F18" s="13" t="str">
        <f>IF(ISBLANK(Master!F18),"",Master!F18)</f>
        <v>x</v>
      </c>
      <c r="G18" s="13" t="str">
        <f>IF(ISBLANK(Master!G18),"",Master!G18)</f>
        <v>SHY</v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CHP Jr.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Handzel</v>
      </c>
      <c r="X18" s="13" t="str">
        <f>IF(ISBLANK(Master!Y18),"",Master!Y18)</f>
        <v/>
      </c>
      <c r="Y18" s="13" t="str">
        <f>IF(ISBLANK(Master!Z18),"",Master!Z18)</f>
        <v>Gallagher</v>
      </c>
      <c r="Z18" s="13" t="str">
        <f>IF(ISBLANK(Master!AA18),"",Master!AA18)</f>
        <v>Huckaby</v>
      </c>
      <c r="AA18" s="13" t="str">
        <f>IF(ISBLANK(Master!AB18),"",Master!AB18)</f>
        <v/>
      </c>
    </row>
    <row r="19" spans="1:27" x14ac:dyDescent="0.4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>CT</v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SHY</v>
      </c>
      <c r="I19" s="13" t="str">
        <f>IF(ISBLANK(Master!I19),"",Master!I19)</f>
        <v>x</v>
      </c>
      <c r="J19" s="13" t="str">
        <f>IF(ISBLANK(Master!J19),"",Master!J19)</f>
        <v>CHP Sr.</v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Hill (Kirk)</v>
      </c>
      <c r="X19" s="13" t="str">
        <f>IF(ISBLANK(Master!Y19),"",Master!Y19)</f>
        <v>Siow</v>
      </c>
      <c r="Y19" s="13" t="str">
        <f>IF(ISBLANK(Master!Z19),"",Master!Z19)</f>
        <v/>
      </c>
      <c r="Z19" s="13" t="str">
        <f>IF(ISBLANK(Master!AA19),"",Master!AA19)</f>
        <v>Dyer</v>
      </c>
      <c r="AA19" s="13" t="str">
        <f>IF(ISBLANK(Master!AB19),"",Master!AB19)</f>
        <v/>
      </c>
    </row>
    <row r="20" spans="1:27" x14ac:dyDescent="0.4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>CT</v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>CHP Jr.</v>
      </c>
      <c r="L20" s="13" t="str">
        <f>IF(ISBLANK(Master!L20),"",Master!L20)</f>
        <v>Trauma</v>
      </c>
      <c r="M20" s="13" t="str">
        <f>IF(ISBLANK(Master!M20),"",Master!M20)</f>
        <v>SHY</v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>Cyr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Tam</v>
      </c>
      <c r="Z20" s="13" t="str">
        <f>IF(ISBLANK(Master!AA20),"",Master!AA20)</f>
        <v>Griepentrog</v>
      </c>
      <c r="AA20" s="13" t="str">
        <f>IF(ISBLANK(Master!AB20),"",Master!AB20)</f>
        <v/>
      </c>
    </row>
    <row r="21" spans="1:27" x14ac:dyDescent="0.4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>CT</v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>Trauma</v>
      </c>
      <c r="Q21" s="13" t="str">
        <f>IF(ISBLANK(Master!Q21),"",Master!Q21)</f>
        <v/>
      </c>
      <c r="R21" s="13" t="str">
        <f>IF(ISBLANK(Master!R21),"",Master!R21)</f>
        <v>SHY</v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Kulkarni</v>
      </c>
      <c r="W21" s="13" t="str">
        <f>IF(ISBLANK(Master!X21),"",Master!X21)</f>
        <v>Nicholson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Handzel</v>
      </c>
      <c r="AA21" s="13" t="str">
        <f>IF(ISBLANK(Master!AB21),"",Master!AB21)</f>
        <v/>
      </c>
    </row>
    <row r="22" spans="1:27" x14ac:dyDescent="0.4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CT</v>
      </c>
      <c r="I22" s="13" t="str">
        <f>IF(ISBLANK(Master!I22),"",Master!I22)</f>
        <v>SHY</v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>CHP Jr.</v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Okolo</v>
      </c>
      <c r="X22" s="13" t="str">
        <f>IF(ISBLANK(Master!Y22),"",Master!Y22)</f>
        <v/>
      </c>
      <c r="Y22" s="13" t="str">
        <f>IF(ISBLANK(Master!Z22),"",Master!Z22)</f>
        <v>Huckaby</v>
      </c>
      <c r="Z22" s="13" t="str">
        <f>IF(ISBLANK(Master!AA22),"",Master!AA22)</f>
        <v>Hill (Kirk)</v>
      </c>
      <c r="AA22" s="13" t="str">
        <f>IF(ISBLANK(Master!AB22),"",Master!AB22)</f>
        <v/>
      </c>
    </row>
    <row r="23" spans="1:27" x14ac:dyDescent="0.4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Trauma</v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CT</v>
      </c>
      <c r="L23" s="13" t="str">
        <f>IF(ISBLANK(Master!L23),"",Master!L23)</f>
        <v>x</v>
      </c>
      <c r="M23" s="13" t="str">
        <f>IF(ISBLANK(Master!M23),"",Master!M23)</f>
        <v>CHP Jr.</v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>Handzel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>Dadashzadeh</v>
      </c>
      <c r="Z23" s="13" t="str">
        <f>IF(ISBLANK(Master!AA23),"",Master!AA23)</f>
        <v>Tam</v>
      </c>
      <c r="AA23" s="13" t="str">
        <f>IF(ISBLANK(Master!AB23),"",Master!AB23)</f>
        <v/>
      </c>
    </row>
    <row r="24" spans="1:27" x14ac:dyDescent="0.4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  <c r="AA24" s="13" t="str">
        <f>IF(ISBLANK(Master!AB24),"",Master!AB24)</f>
        <v/>
      </c>
    </row>
    <row r="25" spans="1:27" x14ac:dyDescent="0.4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SHY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CT</v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Hill (Kirk)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Nicholson</v>
      </c>
      <c r="AA25" s="13" t="str">
        <f>IF(ISBLANK(Master!AB25),"",Master!AB25)</f>
        <v/>
      </c>
    </row>
    <row r="26" spans="1:27" x14ac:dyDescent="0.4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>CT</v>
      </c>
      <c r="D26" s="13" t="str">
        <f>IF(ISBLANK(Master!D26),"",Master!D26)</f>
        <v>x</v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Trauma</v>
      </c>
      <c r="K26" s="13" t="str">
        <f>IF(ISBLANK(Master!K26),"",Master!K26)</f>
        <v/>
      </c>
      <c r="L26" s="13" t="str">
        <f>IF(ISBLANK(Master!L26),"",Master!L26)</f>
        <v>CHP Jr.</v>
      </c>
      <c r="M26" s="13" t="str">
        <f>IF(ISBLANK(Master!M26),"",Master!M26)</f>
        <v>SHY</v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>x</v>
      </c>
      <c r="T26" s="13" t="str">
        <f>IF(ISBLANK(Master!T26),"",Master!T26)</f>
        <v>x</v>
      </c>
      <c r="V26" s="13" t="str">
        <f>IF(ISBLANK(Master!W26),"",Master!W26)</f>
        <v>Siow</v>
      </c>
      <c r="W26" s="13" t="str">
        <f>IF(ISBLANK(Master!X26),"",Master!X26)</f>
        <v>Dadashzadeh</v>
      </c>
      <c r="X26" s="13" t="str">
        <f>IF(ISBLANK(Master!Y26),"",Master!Y26)</f>
        <v/>
      </c>
      <c r="Y26" s="13" t="str">
        <f>IF(ISBLANK(Master!Z26),"",Master!Z26)</f>
        <v>Cyr</v>
      </c>
      <c r="Z26" s="13" t="str">
        <f>IF(ISBLANK(Master!AA26),"",Master!AA26)</f>
        <v>Dyer</v>
      </c>
      <c r="AA26" s="13" t="str">
        <f>IF(ISBLANK(Master!AB26),"",Master!AB26)</f>
        <v/>
      </c>
    </row>
    <row r="27" spans="1:27" x14ac:dyDescent="0.4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Trauma</v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/>
      </c>
      <c r="I27" s="13" t="str">
        <f>IF(ISBLANK(Master!I27),"",Master!I27)</f>
        <v>CHP Jr.</v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>x</v>
      </c>
      <c r="O27" s="13" t="str">
        <f>IF(ISBLANK(Master!O27),"",Master!O27)</f>
        <v>SHY</v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>x</v>
      </c>
      <c r="T27" s="13" t="str">
        <f>IF(ISBLANK(Master!T27),"",Master!T27)</f>
        <v>x</v>
      </c>
      <c r="V27" s="13" t="str">
        <f>IF(ISBLANK(Master!W27),"",Master!W27)</f>
        <v>Van Der Windt</v>
      </c>
      <c r="W27" s="13" t="str">
        <f>IF(ISBLANK(Master!X27),"",Master!X27)</f>
        <v>Huckaby</v>
      </c>
      <c r="X27" s="13" t="str">
        <f>IF(ISBLANK(Master!Y27),"",Master!Y27)</f>
        <v/>
      </c>
      <c r="Y27" s="13" t="str">
        <f>IF(ISBLANK(Master!Z27),"",Master!Z27)</f>
        <v>Okolo</v>
      </c>
      <c r="Z27" s="13" t="str">
        <f>IF(ISBLANK(Master!AA27),"",Master!AA27)</f>
        <v>NEEDS COVERAGE</v>
      </c>
      <c r="AA27" s="13" t="str">
        <f>IF(ISBLANK(Master!AB27),"",Master!AB27)</f>
        <v/>
      </c>
    </row>
    <row r="28" spans="1:27" x14ac:dyDescent="0.4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>SHY</v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Trauma</v>
      </c>
      <c r="R28" s="13" t="str">
        <f>IF(ISBLANK(Master!R28),"",Master!R28)</f>
        <v>CT</v>
      </c>
      <c r="S28" s="13" t="str">
        <f>IF(ISBLANK(Master!S28),"",Master!S28)</f>
        <v>x</v>
      </c>
      <c r="T28" s="13" t="str">
        <f>IF(ISBLANK(Master!T28),"",Master!T28)</f>
        <v>x</v>
      </c>
      <c r="V28" s="13" t="str">
        <f>IF(ISBLANK(Master!W28),"",Master!W28)</f>
        <v>Myers</v>
      </c>
      <c r="W28" s="13" t="str">
        <f>IF(ISBLANK(Master!X28),"",Master!X28)</f>
        <v>Gallagher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Nicholson</v>
      </c>
      <c r="AA28" s="13" t="str">
        <f>IF(ISBLANK(Master!AB28),"",Master!AB28)</f>
        <v/>
      </c>
    </row>
    <row r="29" spans="1:27" x14ac:dyDescent="0.4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>SHY</v>
      </c>
      <c r="D29" s="13" t="str">
        <f>IF(ISBLANK(Master!D29),"",Master!D29)</f>
        <v/>
      </c>
      <c r="E29" s="13" t="str">
        <f>IF(ISBLANK(Master!E29),"",Master!E29)</f>
        <v>CHP Jr.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>CT</v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>x</v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Dyer</v>
      </c>
      <c r="X29" s="13" t="str">
        <f>IF(ISBLANK(Master!Y29),"",Master!Y29)</f>
        <v/>
      </c>
      <c r="Y29" s="13" t="str">
        <f>IF(ISBLANK(Master!Z29),"",Master!Z29)</f>
        <v>Yeh</v>
      </c>
      <c r="Z29" s="13" t="str">
        <f>IF(ISBLANK(Master!AA29),"",Master!AA29)</f>
        <v>Cyr</v>
      </c>
      <c r="AA29" s="13" t="str">
        <f>IF(ISBLANK(Master!AB29),"",Master!AB29)</f>
        <v/>
      </c>
    </row>
    <row r="30" spans="1:27" x14ac:dyDescent="0.4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>CT</v>
      </c>
      <c r="J30" s="13" t="str">
        <f>IF(ISBLANK(Master!J30),"",Master!J30)</f>
        <v>x</v>
      </c>
      <c r="K30" s="13" t="str">
        <f>IF(ISBLANK(Master!K30),"",Master!K30)</f>
        <v>Trauma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>x</v>
      </c>
      <c r="T30" s="13" t="str">
        <f>IF(ISBLANK(Master!T30),"",Master!T30)</f>
        <v>x</v>
      </c>
      <c r="V30" s="13" t="str">
        <f>IF(ISBLANK(Master!W30),"",Master!W30)</f>
        <v>Tam</v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Okolo</v>
      </c>
      <c r="AA30" s="13" t="str">
        <f>IF(ISBLANK(Master!AB30),"",Master!AB30)</f>
        <v/>
      </c>
    </row>
    <row r="31" spans="1:27" x14ac:dyDescent="0.4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>x</v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  <c r="AA31" s="13" t="str">
        <f>IF(ISBLANK(Master!AB31),"",Master!AB31)</f>
        <v/>
      </c>
    </row>
    <row r="32" spans="1:27" x14ac:dyDescent="0.4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0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4</v>
      </c>
      <c r="D35" s="13">
        <f>IF(ISBLANK(Master!D35),"",Master!D35)</f>
        <v>3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5</v>
      </c>
      <c r="O35" s="13">
        <f>IF(ISBLANK(Master!O35),"",Master!O35)</f>
        <v>5</v>
      </c>
      <c r="P35" s="13">
        <f>IF(ISBLANK(Master!P35),"",Master!P35)</f>
        <v>3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fN9+RYmnMM3hOpaRRLqeL6Vbqy39XxOnyqH3d21X1qNMnM8efciypW/zTts50fQ2sYP/AM/BumiPo9o70Fzaog==" saltValue="AVqvhcX6+M0TcM5TUlh2HQ==" spinCount="100000" sheet="1" objects="1" scenarios="1"/>
  <conditionalFormatting sqref="V1:V1048576">
    <cfRule type="notContainsBlanks" dxfId="10" priority="6">
      <formula>LEN(TRIM(V1))&gt;0</formula>
    </cfRule>
  </conditionalFormatting>
  <conditionalFormatting sqref="W1:W1048576">
    <cfRule type="notContainsBlanks" dxfId="9" priority="5">
      <formula>LEN(TRIM(W1))&gt;0</formula>
    </cfRule>
  </conditionalFormatting>
  <conditionalFormatting sqref="X1:Y1048576">
    <cfRule type="notContainsBlanks" dxfId="8" priority="4">
      <formula>LEN(TRIM(X1))&gt;0</formula>
    </cfRule>
  </conditionalFormatting>
  <conditionalFormatting sqref="Z32:Z1048576 Z1:AA31">
    <cfRule type="notContainsBlanks" dxfId="7" priority="3">
      <formula>LEN(TRIM(Z1))&gt;0</formula>
    </cfRule>
  </conditionalFormatting>
  <conditionalFormatting sqref="C2:U32">
    <cfRule type="cellIs" dxfId="6" priority="114" operator="equal">
      <formula>$W$1</formula>
    </cfRule>
    <cfRule type="cellIs" dxfId="5" priority="115" operator="equal">
      <formula>$Y$1</formula>
    </cfRule>
    <cfRule type="cellIs" dxfId="4" priority="116" operator="equal">
      <formula>$X$1</formula>
    </cfRule>
    <cfRule type="cellIs" dxfId="3" priority="117" operator="equal">
      <formula>$Z$1</formula>
    </cfRule>
    <cfRule type="cellIs" dxfId="2" priority="118" operator="equal">
      <formula>$V$1</formula>
    </cfRule>
  </conditionalFormatting>
  <conditionalFormatting sqref="AA1:AA32">
    <cfRule type="notContainsBlanks" dxfId="1" priority="2">
      <formula>LEN(TRIM(AA1))&gt;0</formula>
    </cfRule>
  </conditionalFormatting>
  <conditionalFormatting sqref="C2:T32">
    <cfRule type="cellIs" dxfId="0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26" sqref="H26"/>
    </sheetView>
  </sheetViews>
  <sheetFormatPr defaultColWidth="8.84375" defaultRowHeight="14.6" x14ac:dyDescent="0.4"/>
  <cols>
    <col min="1" max="1" width="11.07421875" style="1" bestFit="1" customWidth="1"/>
    <col min="2" max="2" width="4.69140625" style="1" bestFit="1" customWidth="1"/>
    <col min="3" max="3" width="8.3046875" style="3" customWidth="1"/>
    <col min="4" max="4" width="12.84375" style="3" customWidth="1"/>
    <col min="5" max="5" width="8.15234375" style="3" customWidth="1"/>
    <col min="6" max="6" width="11.4609375" style="3" customWidth="1"/>
    <col min="7" max="7" width="8.921875" style="3" customWidth="1"/>
    <col min="8" max="8" width="9" style="5" customWidth="1"/>
    <col min="9" max="9" width="8.23046875" style="3" customWidth="1"/>
    <col min="10" max="10" width="7.69140625" style="3" customWidth="1"/>
    <col min="11" max="11" width="8.07421875" style="3" customWidth="1"/>
    <col min="12" max="12" width="7.61328125" style="3" customWidth="1"/>
    <col min="13" max="13" width="11.69140625" style="3" bestFit="1" customWidth="1"/>
    <col min="14" max="14" width="10.53515625" style="3" bestFit="1" customWidth="1"/>
    <col min="15" max="15" width="9.4609375" style="3" customWidth="1"/>
    <col min="16" max="16" width="10" style="3" customWidth="1"/>
    <col min="17" max="17" width="8.3828125" style="3" customWidth="1"/>
    <col min="18" max="18" width="8.3046875" style="3" customWidth="1"/>
    <col min="19" max="19" width="7.921875" style="3" customWidth="1"/>
    <col min="20" max="20" width="10.15234375" style="3" bestFit="1" customWidth="1"/>
    <col min="21" max="21" width="6.3046875" style="3" customWidth="1"/>
    <col min="22" max="22" width="11.15234375" style="3" customWidth="1"/>
    <col min="23" max="27" width="16.84375" style="10" bestFit="1" customWidth="1"/>
    <col min="28" max="28" width="16.84375" style="10" customWidth="1"/>
    <col min="29" max="29" width="36.3046875" style="10" customWidth="1"/>
    <col min="30" max="34" width="7.84375" style="3" customWidth="1"/>
    <col min="35" max="35" width="7.765625" style="1" customWidth="1"/>
    <col min="36" max="36" width="19.382812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5" t="s">
        <v>0</v>
      </c>
      <c r="B1" s="2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2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7" t="s">
        <v>42</v>
      </c>
      <c r="W1" s="4" t="s">
        <v>2</v>
      </c>
      <c r="X1" s="28" t="s">
        <v>23</v>
      </c>
      <c r="Y1" s="28" t="s">
        <v>22</v>
      </c>
      <c r="Z1" s="28" t="s">
        <v>21</v>
      </c>
      <c r="AA1" s="28" t="s">
        <v>3</v>
      </c>
      <c r="AB1" s="4" t="s">
        <v>59</v>
      </c>
      <c r="AC1" s="4"/>
      <c r="AD1" s="4" t="s">
        <v>2</v>
      </c>
      <c r="AE1" s="28" t="s">
        <v>23</v>
      </c>
      <c r="AF1" s="28" t="s">
        <v>22</v>
      </c>
      <c r="AG1" s="28" t="s">
        <v>21</v>
      </c>
      <c r="AH1" s="28" t="s">
        <v>3</v>
      </c>
      <c r="AI1" s="1" t="s">
        <v>59</v>
      </c>
    </row>
    <row r="2" spans="1:38" x14ac:dyDescent="0.4">
      <c r="A2" s="1" t="s">
        <v>5</v>
      </c>
      <c r="B2" s="9">
        <v>1</v>
      </c>
      <c r="C2" s="1"/>
      <c r="D2" s="1" t="s">
        <v>3</v>
      </c>
      <c r="E2" s="1" t="s">
        <v>39</v>
      </c>
      <c r="F2" s="1" t="s">
        <v>39</v>
      </c>
      <c r="G2" s="1" t="s">
        <v>39</v>
      </c>
      <c r="H2" s="2">
        <v>1</v>
      </c>
      <c r="I2" s="1" t="s">
        <v>39</v>
      </c>
      <c r="J2" s="1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1" t="s">
        <v>2</v>
      </c>
      <c r="R2" s="1" t="s">
        <v>39</v>
      </c>
      <c r="S2" s="1" t="s">
        <v>39</v>
      </c>
      <c r="T2" s="1" t="s">
        <v>39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Myers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1" si="4">IF(ISBLANK(AH2),IF(COUNTIF($C2:$T2,AA$1)&gt;0,"ERROR",""),IF(COUNTIF($C2:$T2,AA$1)&lt;1,"NEEDS COVERAGE",IF(COUNTIF($C2:$T2,AA$1)&gt;1,"ERROR",IF(ISNA(INDEX($C$1:$T$1,MATCH(AA$1,$C2:$T2,0))),"",INDEX($C$1:$T$1,MATCH(AA$1,$C2:$T2,0))))))</f>
        <v>Van Der Windt</v>
      </c>
      <c r="AB2" s="1" t="str">
        <f t="shared" si="4"/>
        <v/>
      </c>
      <c r="AC2" s="1"/>
      <c r="AD2" s="1" t="s">
        <v>39</v>
      </c>
      <c r="AE2" s="1"/>
      <c r="AF2" s="1"/>
      <c r="AG2" s="1"/>
      <c r="AH2" s="1" t="s">
        <v>39</v>
      </c>
      <c r="AJ2" s="15"/>
      <c r="AK2" s="16"/>
      <c r="AL2" s="17"/>
    </row>
    <row r="3" spans="1:38" x14ac:dyDescent="0.4">
      <c r="A3" s="1" t="s">
        <v>6</v>
      </c>
      <c r="B3" s="9">
        <v>2</v>
      </c>
      <c r="C3" s="1" t="s">
        <v>2</v>
      </c>
      <c r="D3" s="1"/>
      <c r="E3" s="1" t="s">
        <v>39</v>
      </c>
      <c r="F3" s="1" t="s">
        <v>39</v>
      </c>
      <c r="G3" s="1"/>
      <c r="H3" s="2"/>
      <c r="I3" s="1" t="s">
        <v>39</v>
      </c>
      <c r="J3" s="1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1"/>
      <c r="R3" s="1" t="s">
        <v>39</v>
      </c>
      <c r="S3" s="1" t="s">
        <v>39</v>
      </c>
      <c r="T3" s="1" t="s">
        <v>39</v>
      </c>
      <c r="W3" s="1" t="str">
        <f t="shared" si="0"/>
        <v>Dyer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1"/>
      <c r="AD3" s="1" t="s">
        <v>39</v>
      </c>
      <c r="AE3" s="1"/>
      <c r="AF3" s="1"/>
      <c r="AG3" s="1"/>
      <c r="AH3" s="1" t="s">
        <v>39</v>
      </c>
      <c r="AJ3" s="15"/>
      <c r="AK3" s="18"/>
      <c r="AL3" s="17"/>
    </row>
    <row r="4" spans="1:38" x14ac:dyDescent="0.4">
      <c r="A4" s="1" t="s">
        <v>7</v>
      </c>
      <c r="B4" s="9">
        <v>3</v>
      </c>
      <c r="C4" s="1"/>
      <c r="D4" s="1"/>
      <c r="E4" s="1" t="s">
        <v>39</v>
      </c>
      <c r="F4" s="1" t="s">
        <v>39</v>
      </c>
      <c r="G4" s="1"/>
      <c r="H4" s="2"/>
      <c r="I4" s="1" t="s">
        <v>39</v>
      </c>
      <c r="J4" s="1" t="s">
        <v>59</v>
      </c>
      <c r="K4" s="1" t="s">
        <v>39</v>
      </c>
      <c r="L4" s="1" t="s">
        <v>39</v>
      </c>
      <c r="M4" s="1" t="s">
        <v>39</v>
      </c>
      <c r="N4" s="1" t="s">
        <v>39</v>
      </c>
      <c r="O4" s="1" t="s">
        <v>23</v>
      </c>
      <c r="P4" s="1" t="s">
        <v>39</v>
      </c>
      <c r="Q4" s="1"/>
      <c r="R4" s="1" t="s">
        <v>39</v>
      </c>
      <c r="S4" s="1" t="s">
        <v>39</v>
      </c>
      <c r="T4" s="1" t="s">
        <v>39</v>
      </c>
      <c r="W4" s="1" t="str">
        <f t="shared" si="0"/>
        <v/>
      </c>
      <c r="X4" s="1" t="str">
        <f t="shared" si="1"/>
        <v>Huckaby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4"/>
        <v>Siow</v>
      </c>
      <c r="AC4" s="1"/>
      <c r="AD4" s="1"/>
      <c r="AE4" s="1" t="s">
        <v>39</v>
      </c>
      <c r="AF4" s="1"/>
      <c r="AG4" s="1"/>
      <c r="AH4" s="1" t="s">
        <v>39</v>
      </c>
      <c r="AI4" s="1" t="s">
        <v>39</v>
      </c>
      <c r="AJ4" s="15"/>
      <c r="AK4" s="19"/>
      <c r="AL4" s="17"/>
    </row>
    <row r="5" spans="1:38" x14ac:dyDescent="0.4">
      <c r="A5" s="1" t="s">
        <v>8</v>
      </c>
      <c r="B5" s="9">
        <v>4</v>
      </c>
      <c r="C5" s="1"/>
      <c r="D5" s="1" t="s">
        <v>23</v>
      </c>
      <c r="E5" s="1" t="s">
        <v>39</v>
      </c>
      <c r="F5" s="1"/>
      <c r="G5" s="1"/>
      <c r="H5" s="2"/>
      <c r="I5" s="1" t="s">
        <v>39</v>
      </c>
      <c r="J5" s="1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1" t="s">
        <v>3</v>
      </c>
      <c r="R5" s="1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Van Der Windt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 t="str">
        <f t="shared" si="4"/>
        <v/>
      </c>
      <c r="AC5" s="1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4">
      <c r="A6" s="1" t="s">
        <v>9</v>
      </c>
      <c r="B6" s="9">
        <v>5</v>
      </c>
      <c r="C6" s="1"/>
      <c r="D6" s="1" t="s">
        <v>39</v>
      </c>
      <c r="E6" s="1" t="s">
        <v>23</v>
      </c>
      <c r="F6" s="1"/>
      <c r="G6" s="1"/>
      <c r="H6" s="2"/>
      <c r="I6" s="1" t="s">
        <v>39</v>
      </c>
      <c r="J6" s="1" t="s">
        <v>39</v>
      </c>
      <c r="K6" s="1" t="s">
        <v>3</v>
      </c>
      <c r="L6" s="1" t="s">
        <v>39</v>
      </c>
      <c r="M6" s="1"/>
      <c r="N6" s="1" t="s">
        <v>39</v>
      </c>
      <c r="O6" s="1"/>
      <c r="P6" s="1"/>
      <c r="Q6" s="1"/>
      <c r="R6" s="1" t="s">
        <v>21</v>
      </c>
      <c r="S6" s="1" t="s">
        <v>39</v>
      </c>
      <c r="T6" s="1" t="s">
        <v>39</v>
      </c>
      <c r="W6" s="1" t="str">
        <f t="shared" si="0"/>
        <v/>
      </c>
      <c r="X6" s="1" t="str">
        <f t="shared" si="1"/>
        <v>Yeh</v>
      </c>
      <c r="Y6" s="1" t="str">
        <f t="shared" si="2"/>
        <v/>
      </c>
      <c r="Z6" s="1" t="str">
        <f t="shared" si="3"/>
        <v>Nicholson</v>
      </c>
      <c r="AA6" s="1" t="str">
        <f t="shared" si="4"/>
        <v>Tam</v>
      </c>
      <c r="AB6" s="1" t="str">
        <f t="shared" si="4"/>
        <v/>
      </c>
      <c r="AC6" s="1"/>
      <c r="AD6" s="1"/>
      <c r="AE6" s="1" t="s">
        <v>39</v>
      </c>
      <c r="AF6" s="1"/>
      <c r="AG6" s="1" t="s">
        <v>39</v>
      </c>
      <c r="AH6" s="1" t="s">
        <v>39</v>
      </c>
      <c r="AJ6" s="15"/>
      <c r="AK6" s="16"/>
      <c r="AL6" s="17"/>
    </row>
    <row r="7" spans="1:38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/>
      <c r="G7" s="1" t="s">
        <v>39</v>
      </c>
      <c r="H7" s="2"/>
      <c r="I7" s="1" t="s">
        <v>23</v>
      </c>
      <c r="J7" s="1"/>
      <c r="K7" s="1" t="s">
        <v>39</v>
      </c>
      <c r="L7" s="1" t="s">
        <v>39</v>
      </c>
      <c r="M7" s="1" t="s">
        <v>2</v>
      </c>
      <c r="N7" s="1" t="s">
        <v>3</v>
      </c>
      <c r="O7" s="1"/>
      <c r="P7" s="1"/>
      <c r="Q7" s="1" t="s">
        <v>21</v>
      </c>
      <c r="R7" s="1"/>
      <c r="S7" s="1" t="s">
        <v>39</v>
      </c>
      <c r="T7" s="1" t="s">
        <v>39</v>
      </c>
      <c r="W7" s="1" t="str">
        <f t="shared" si="0"/>
        <v>Dadashzadeh</v>
      </c>
      <c r="X7" s="1" t="str">
        <f t="shared" si="1"/>
        <v>Okolo</v>
      </c>
      <c r="Y7" s="1" t="str">
        <f t="shared" si="2"/>
        <v/>
      </c>
      <c r="Z7" s="1" t="str">
        <f t="shared" si="3"/>
        <v>Myers</v>
      </c>
      <c r="AA7" s="1" t="str">
        <f t="shared" si="4"/>
        <v>Gallagher</v>
      </c>
      <c r="AB7" s="1" t="str">
        <f t="shared" si="4"/>
        <v/>
      </c>
      <c r="AC7" s="1"/>
      <c r="AD7" s="1" t="s">
        <v>39</v>
      </c>
      <c r="AE7" s="1" t="s">
        <v>39</v>
      </c>
      <c r="AF7" s="1"/>
      <c r="AG7" s="1" t="s">
        <v>39</v>
      </c>
      <c r="AH7" s="1" t="s">
        <v>39</v>
      </c>
      <c r="AJ7" s="15"/>
      <c r="AK7" s="18"/>
      <c r="AL7" s="17"/>
    </row>
    <row r="8" spans="1:38" x14ac:dyDescent="0.4">
      <c r="A8" s="1" t="s">
        <v>10</v>
      </c>
      <c r="B8" s="9">
        <v>7</v>
      </c>
      <c r="C8" s="1" t="s">
        <v>39</v>
      </c>
      <c r="D8" s="1" t="s">
        <v>39</v>
      </c>
      <c r="E8" s="1"/>
      <c r="F8" s="1"/>
      <c r="G8" s="1" t="s">
        <v>39</v>
      </c>
      <c r="H8" s="2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 t="s">
        <v>39</v>
      </c>
      <c r="O8" s="1" t="s">
        <v>3</v>
      </c>
      <c r="P8" s="1" t="s">
        <v>23</v>
      </c>
      <c r="Q8" s="1"/>
      <c r="R8" s="1"/>
      <c r="S8" s="1" t="s">
        <v>39</v>
      </c>
      <c r="T8" s="1" t="s">
        <v>39</v>
      </c>
      <c r="W8" s="1" t="str">
        <f t="shared" si="0"/>
        <v/>
      </c>
      <c r="X8" s="1" t="str">
        <f t="shared" si="1"/>
        <v>Kulkarni</v>
      </c>
      <c r="Y8" s="1" t="str">
        <f t="shared" si="2"/>
        <v/>
      </c>
      <c r="Z8" s="1" t="str">
        <f t="shared" si="3"/>
        <v/>
      </c>
      <c r="AA8" s="1" t="str">
        <f t="shared" si="4"/>
        <v>Huckaby</v>
      </c>
      <c r="AB8" s="1" t="str">
        <f t="shared" si="4"/>
        <v/>
      </c>
      <c r="AC8" s="1"/>
      <c r="AD8" s="1"/>
      <c r="AE8" s="1" t="s">
        <v>39</v>
      </c>
      <c r="AF8" s="1"/>
      <c r="AG8" s="1"/>
      <c r="AH8" s="1" t="s">
        <v>39</v>
      </c>
      <c r="AJ8" s="15"/>
      <c r="AK8" s="19"/>
      <c r="AL8" s="17"/>
    </row>
    <row r="9" spans="1:38" x14ac:dyDescent="0.4">
      <c r="A9" s="1" t="s">
        <v>5</v>
      </c>
      <c r="B9" s="9">
        <v>8</v>
      </c>
      <c r="C9" s="1" t="s">
        <v>39</v>
      </c>
      <c r="D9" s="1" t="s">
        <v>39</v>
      </c>
      <c r="E9" s="1" t="s">
        <v>39</v>
      </c>
      <c r="F9" s="1" t="s">
        <v>39</v>
      </c>
      <c r="G9" s="1" t="s">
        <v>39</v>
      </c>
      <c r="H9" s="2"/>
      <c r="I9" s="1" t="s">
        <v>39</v>
      </c>
      <c r="J9" s="1" t="s">
        <v>3</v>
      </c>
      <c r="K9" s="1" t="s">
        <v>39</v>
      </c>
      <c r="L9" s="1" t="s">
        <v>39</v>
      </c>
      <c r="M9" s="1"/>
      <c r="N9" s="1" t="s">
        <v>2</v>
      </c>
      <c r="O9" s="1"/>
      <c r="P9" s="1" t="s">
        <v>39</v>
      </c>
      <c r="Q9" s="1" t="s">
        <v>39</v>
      </c>
      <c r="R9" s="1"/>
      <c r="S9" s="1" t="s">
        <v>39</v>
      </c>
      <c r="T9" s="1" t="s">
        <v>39</v>
      </c>
      <c r="W9" s="1" t="str">
        <f t="shared" si="0"/>
        <v>Gallagher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Siow</v>
      </c>
      <c r="AB9" s="1" t="str">
        <f t="shared" si="4"/>
        <v/>
      </c>
      <c r="AC9" s="1"/>
      <c r="AD9" s="1" t="s">
        <v>39</v>
      </c>
      <c r="AE9" s="1"/>
      <c r="AF9" s="1"/>
      <c r="AG9" s="1"/>
      <c r="AH9" s="1" t="s">
        <v>39</v>
      </c>
      <c r="AJ9" s="15"/>
      <c r="AK9" s="19"/>
      <c r="AL9" s="17"/>
    </row>
    <row r="10" spans="1:38" x14ac:dyDescent="0.4">
      <c r="A10" s="1" t="s">
        <v>6</v>
      </c>
      <c r="B10" s="9">
        <v>9</v>
      </c>
      <c r="C10" s="1" t="s">
        <v>39</v>
      </c>
      <c r="D10" s="1" t="s">
        <v>39</v>
      </c>
      <c r="E10" s="1" t="s">
        <v>39</v>
      </c>
      <c r="F10" s="1" t="s">
        <v>39</v>
      </c>
      <c r="G10" s="1" t="s">
        <v>39</v>
      </c>
      <c r="H10" s="2" t="s">
        <v>2</v>
      </c>
      <c r="I10" s="1" t="s">
        <v>39</v>
      </c>
      <c r="J10" s="1"/>
      <c r="K10" s="1" t="s">
        <v>39</v>
      </c>
      <c r="L10" s="1" t="s">
        <v>39</v>
      </c>
      <c r="M10" s="1"/>
      <c r="N10" s="1"/>
      <c r="O10" s="1"/>
      <c r="P10" s="1" t="s">
        <v>39</v>
      </c>
      <c r="Q10" s="1" t="s">
        <v>39</v>
      </c>
      <c r="R10" s="1"/>
      <c r="S10" s="1" t="s">
        <v>39</v>
      </c>
      <c r="T10" s="1" t="s">
        <v>39</v>
      </c>
      <c r="W10" s="1" t="str">
        <f t="shared" si="0"/>
        <v>Hill (Kirk)</v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1"/>
      <c r="AD10" s="1" t="s">
        <v>39</v>
      </c>
      <c r="AE10" s="1"/>
      <c r="AF10" s="1"/>
      <c r="AG10" s="1"/>
      <c r="AH10" s="1" t="s">
        <v>39</v>
      </c>
      <c r="AJ10" s="15"/>
      <c r="AK10" s="19"/>
      <c r="AL10" s="17"/>
    </row>
    <row r="11" spans="1:38" x14ac:dyDescent="0.4">
      <c r="A11" s="1" t="s">
        <v>7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2"/>
      <c r="I11" s="1" t="s">
        <v>39</v>
      </c>
      <c r="J11" s="1" t="s">
        <v>23</v>
      </c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39</v>
      </c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Siow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5"/>
      <c r="AK11" s="18"/>
      <c r="AL11" s="17"/>
    </row>
    <row r="12" spans="1:38" x14ac:dyDescent="0.4">
      <c r="A12" s="1" t="s">
        <v>8</v>
      </c>
      <c r="B12" s="9">
        <v>11</v>
      </c>
      <c r="C12" s="1" t="s">
        <v>39</v>
      </c>
      <c r="D12" s="1" t="s">
        <v>39</v>
      </c>
      <c r="E12" s="1" t="s">
        <v>2</v>
      </c>
      <c r="F12" s="1" t="s">
        <v>39</v>
      </c>
      <c r="G12" s="1" t="s">
        <v>21</v>
      </c>
      <c r="H12" s="2"/>
      <c r="I12" s="1"/>
      <c r="J12" s="1"/>
      <c r="K12" s="1"/>
      <c r="L12" s="1" t="s">
        <v>39</v>
      </c>
      <c r="M12" s="1"/>
      <c r="N12" s="1" t="s">
        <v>39</v>
      </c>
      <c r="O12" s="1" t="s">
        <v>39</v>
      </c>
      <c r="P12" s="1"/>
      <c r="Q12" s="1" t="s">
        <v>3</v>
      </c>
      <c r="R12" s="1" t="s">
        <v>23</v>
      </c>
      <c r="S12" s="1" t="s">
        <v>39</v>
      </c>
      <c r="T12" s="1" t="s">
        <v>39</v>
      </c>
      <c r="W12" s="1" t="str">
        <f t="shared" si="0"/>
        <v>Yeh</v>
      </c>
      <c r="X12" s="1" t="str">
        <f t="shared" si="1"/>
        <v>Nicholson</v>
      </c>
      <c r="Y12" s="1" t="str">
        <f t="shared" si="2"/>
        <v/>
      </c>
      <c r="Z12" s="1" t="str">
        <f t="shared" si="3"/>
        <v>Handzel</v>
      </c>
      <c r="AA12" s="1" t="str">
        <f t="shared" si="4"/>
        <v>Myers</v>
      </c>
      <c r="AB12" s="1" t="str">
        <f t="shared" si="4"/>
        <v/>
      </c>
      <c r="AC12" s="1"/>
      <c r="AD12" s="1" t="s">
        <v>39</v>
      </c>
      <c r="AE12" s="1" t="s">
        <v>39</v>
      </c>
      <c r="AF12" s="1"/>
      <c r="AG12" s="1" t="s">
        <v>39</v>
      </c>
      <c r="AH12" s="1" t="s">
        <v>39</v>
      </c>
      <c r="AJ12" s="15"/>
      <c r="AK12" s="19"/>
      <c r="AL12" s="17"/>
    </row>
    <row r="13" spans="1:38" x14ac:dyDescent="0.4">
      <c r="A13" s="1" t="s">
        <v>9</v>
      </c>
      <c r="B13" s="9">
        <v>12</v>
      </c>
      <c r="C13" s="1" t="s">
        <v>39</v>
      </c>
      <c r="D13" s="1" t="s">
        <v>39</v>
      </c>
      <c r="E13" s="1"/>
      <c r="F13" s="1" t="s">
        <v>3</v>
      </c>
      <c r="G13" s="1"/>
      <c r="H13" s="2"/>
      <c r="I13" s="1"/>
      <c r="J13" s="1"/>
      <c r="K13" s="1" t="s">
        <v>23</v>
      </c>
      <c r="L13" s="1"/>
      <c r="M13" s="1"/>
      <c r="N13" s="1" t="s">
        <v>39</v>
      </c>
      <c r="O13" s="1"/>
      <c r="P13" s="1"/>
      <c r="Q13" s="1"/>
      <c r="R13" s="1"/>
      <c r="S13" s="1" t="s">
        <v>39</v>
      </c>
      <c r="T13" s="1" t="s">
        <v>39</v>
      </c>
      <c r="W13" s="1" t="str">
        <f t="shared" si="0"/>
        <v/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Griepentrog</v>
      </c>
      <c r="AB13" s="1" t="str">
        <f t="shared" si="4"/>
        <v/>
      </c>
      <c r="AC13" s="1"/>
      <c r="AD13" s="1"/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4">
      <c r="A14" s="1" t="s">
        <v>4</v>
      </c>
      <c r="B14" s="9">
        <v>13</v>
      </c>
      <c r="C14" s="1" t="s">
        <v>39</v>
      </c>
      <c r="D14" s="1" t="s">
        <v>39</v>
      </c>
      <c r="E14" s="1"/>
      <c r="F14" s="1"/>
      <c r="G14" s="1" t="s">
        <v>3</v>
      </c>
      <c r="H14" s="2"/>
      <c r="I14" s="1" t="s">
        <v>2</v>
      </c>
      <c r="J14" s="1"/>
      <c r="K14" s="1" t="s">
        <v>39</v>
      </c>
      <c r="L14" s="1"/>
      <c r="M14" s="1"/>
      <c r="N14" s="1" t="s">
        <v>23</v>
      </c>
      <c r="O14" s="1"/>
      <c r="P14" s="1" t="s">
        <v>21</v>
      </c>
      <c r="Q14" s="1"/>
      <c r="R14" s="1"/>
      <c r="S14" s="1" t="s">
        <v>39</v>
      </c>
      <c r="T14" s="1" t="s">
        <v>39</v>
      </c>
      <c r="W14" s="1" t="str">
        <f t="shared" si="0"/>
        <v>Okolo</v>
      </c>
      <c r="X14" s="1" t="str">
        <f t="shared" si="1"/>
        <v>Gallagher</v>
      </c>
      <c r="Y14" s="1" t="str">
        <f t="shared" si="2"/>
        <v/>
      </c>
      <c r="Z14" s="1" t="str">
        <f t="shared" si="3"/>
        <v>Kulkarni</v>
      </c>
      <c r="AA14" s="1" t="str">
        <f t="shared" si="4"/>
        <v>Handzel</v>
      </c>
      <c r="AB14" s="1" t="str">
        <f t="shared" si="4"/>
        <v/>
      </c>
      <c r="AC14" s="1"/>
      <c r="AD14" s="1" t="s">
        <v>39</v>
      </c>
      <c r="AE14" s="1" t="s">
        <v>39</v>
      </c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4">
      <c r="A15" s="1" t="s">
        <v>10</v>
      </c>
      <c r="B15" s="9">
        <v>14</v>
      </c>
      <c r="C15" s="1"/>
      <c r="D15" s="1" t="s">
        <v>39</v>
      </c>
      <c r="E15" s="1"/>
      <c r="F15" s="1"/>
      <c r="G15" s="1" t="s">
        <v>39</v>
      </c>
      <c r="H15" s="2"/>
      <c r="I15" s="1" t="s">
        <v>39</v>
      </c>
      <c r="J15" s="1"/>
      <c r="K15" s="1" t="s">
        <v>39</v>
      </c>
      <c r="L15" s="1" t="s">
        <v>23</v>
      </c>
      <c r="M15" s="1"/>
      <c r="N15" s="1" t="s">
        <v>39</v>
      </c>
      <c r="O15" s="1"/>
      <c r="P15" s="1"/>
      <c r="Q15" s="1"/>
      <c r="R15" s="1" t="s">
        <v>3</v>
      </c>
      <c r="S15" s="1" t="s">
        <v>39</v>
      </c>
      <c r="T15" s="1" t="s">
        <v>39</v>
      </c>
      <c r="W15" s="1" t="str">
        <f t="shared" si="0"/>
        <v/>
      </c>
      <c r="X15" s="1" t="str">
        <f t="shared" si="1"/>
        <v>Cyr</v>
      </c>
      <c r="Y15" s="1" t="str">
        <f t="shared" si="2"/>
        <v/>
      </c>
      <c r="Z15" s="1" t="str">
        <f t="shared" si="3"/>
        <v/>
      </c>
      <c r="AA15" s="1" t="str">
        <f t="shared" si="4"/>
        <v>Nicholson</v>
      </c>
      <c r="AB15" s="1" t="str">
        <f t="shared" si="4"/>
        <v/>
      </c>
      <c r="AC15" s="1"/>
      <c r="AD15" s="1"/>
      <c r="AE15" s="1" t="s">
        <v>39</v>
      </c>
      <c r="AF15" s="1"/>
      <c r="AG15" s="1"/>
      <c r="AH15" s="1" t="s">
        <v>39</v>
      </c>
      <c r="AJ15" s="15"/>
      <c r="AK15" s="19"/>
      <c r="AL15" s="17"/>
    </row>
    <row r="16" spans="1:38" x14ac:dyDescent="0.4">
      <c r="A16" s="1" t="s">
        <v>5</v>
      </c>
      <c r="B16" s="9">
        <v>15</v>
      </c>
      <c r="C16" s="1"/>
      <c r="D16" s="1" t="s">
        <v>39</v>
      </c>
      <c r="E16" s="1" t="s">
        <v>39</v>
      </c>
      <c r="F16" s="1" t="s">
        <v>39</v>
      </c>
      <c r="G16" s="1" t="s">
        <v>39</v>
      </c>
      <c r="H16" s="2" t="s">
        <v>2</v>
      </c>
      <c r="I16" s="1" t="s">
        <v>39</v>
      </c>
      <c r="J16" s="1"/>
      <c r="K16" s="1" t="s">
        <v>39</v>
      </c>
      <c r="L16" s="1" t="s">
        <v>39</v>
      </c>
      <c r="M16" s="1"/>
      <c r="N16" s="1"/>
      <c r="O16" s="1"/>
      <c r="P16" s="1"/>
      <c r="Q16" s="1" t="s">
        <v>39</v>
      </c>
      <c r="R16" s="1"/>
      <c r="S16" s="1" t="s">
        <v>39</v>
      </c>
      <c r="T16" s="1" t="s">
        <v>39</v>
      </c>
      <c r="V16" s="34"/>
      <c r="W16" s="1" t="str">
        <f t="shared" si="0"/>
        <v>Hill (Kirk)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1"/>
      <c r="AD16" s="1" t="s">
        <v>39</v>
      </c>
      <c r="AE16" s="1"/>
      <c r="AF16" s="1"/>
      <c r="AG16" s="1"/>
      <c r="AH16" s="1" t="s">
        <v>39</v>
      </c>
      <c r="AJ16" s="15"/>
      <c r="AK16" s="18"/>
      <c r="AL16" s="17"/>
    </row>
    <row r="17" spans="1:38" x14ac:dyDescent="0.4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2"/>
      <c r="I17" s="1" t="s">
        <v>39</v>
      </c>
      <c r="J17" s="1"/>
      <c r="K17" s="1" t="s">
        <v>39</v>
      </c>
      <c r="L17" s="1" t="s">
        <v>39</v>
      </c>
      <c r="M17" s="1" t="s">
        <v>2</v>
      </c>
      <c r="N17" s="1"/>
      <c r="O17" s="1"/>
      <c r="P17" s="1"/>
      <c r="Q17" s="1" t="s">
        <v>39</v>
      </c>
      <c r="R17" s="1" t="s">
        <v>39</v>
      </c>
      <c r="S17" s="1" t="s">
        <v>39</v>
      </c>
      <c r="T17" s="1" t="s">
        <v>39</v>
      </c>
      <c r="W17" s="1" t="str">
        <f t="shared" si="0"/>
        <v>Dadashzadeh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1" t="s">
        <v>39</v>
      </c>
      <c r="AE17" s="1"/>
      <c r="AF17" s="1"/>
      <c r="AG17" s="1"/>
      <c r="AH17" s="1" t="s">
        <v>39</v>
      </c>
      <c r="AJ17" s="15"/>
      <c r="AK17" s="16"/>
      <c r="AL17" s="17"/>
    </row>
    <row r="18" spans="1:38" x14ac:dyDescent="0.4">
      <c r="A18" s="1" t="s">
        <v>7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 t="s">
        <v>23</v>
      </c>
      <c r="H18" s="2"/>
      <c r="I18" s="1" t="s">
        <v>39</v>
      </c>
      <c r="J18" s="1"/>
      <c r="K18" s="1" t="s">
        <v>39</v>
      </c>
      <c r="L18" s="1"/>
      <c r="M18" s="1"/>
      <c r="N18" s="1" t="s">
        <v>21</v>
      </c>
      <c r="O18" s="1" t="s">
        <v>3</v>
      </c>
      <c r="P18" s="1"/>
      <c r="Q18" s="1" t="s">
        <v>39</v>
      </c>
      <c r="R18" s="1" t="s">
        <v>39</v>
      </c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>Handzel</v>
      </c>
      <c r="Y18" s="1" t="str">
        <f t="shared" si="2"/>
        <v/>
      </c>
      <c r="Z18" s="1" t="str">
        <f t="shared" si="3"/>
        <v>Gallagher</v>
      </c>
      <c r="AA18" s="1" t="str">
        <f t="shared" si="4"/>
        <v>Huckaby</v>
      </c>
      <c r="AB18" s="1" t="str">
        <f t="shared" si="4"/>
        <v/>
      </c>
      <c r="AC18" s="1"/>
      <c r="AD18" s="1"/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4">
      <c r="A19" s="1" t="s">
        <v>8</v>
      </c>
      <c r="B19" s="9">
        <v>18</v>
      </c>
      <c r="C19" s="1" t="s">
        <v>3</v>
      </c>
      <c r="D19" s="1" t="s">
        <v>39</v>
      </c>
      <c r="E19" s="1"/>
      <c r="F19" s="1"/>
      <c r="G19" s="1"/>
      <c r="H19" s="2" t="s">
        <v>23</v>
      </c>
      <c r="I19" s="1" t="s">
        <v>39</v>
      </c>
      <c r="J19" s="1" t="s">
        <v>22</v>
      </c>
      <c r="K19" s="1"/>
      <c r="L19" s="1"/>
      <c r="M19" s="1"/>
      <c r="N19" s="1" t="s">
        <v>39</v>
      </c>
      <c r="O19" s="1" t="s">
        <v>39</v>
      </c>
      <c r="P19" s="1"/>
      <c r="Q19" s="1"/>
      <c r="R19" s="1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Hill (Kirk)</v>
      </c>
      <c r="Y19" s="1" t="str">
        <f t="shared" si="2"/>
        <v>Siow</v>
      </c>
      <c r="Z19" s="1" t="str">
        <f t="shared" si="3"/>
        <v/>
      </c>
      <c r="AA19" s="1" t="str">
        <f t="shared" si="4"/>
        <v>Dyer</v>
      </c>
      <c r="AB19" s="1" t="str">
        <f t="shared" si="4"/>
        <v/>
      </c>
      <c r="AC19" s="1"/>
      <c r="AD19" s="1"/>
      <c r="AE19" s="1" t="s">
        <v>39</v>
      </c>
      <c r="AF19" s="1" t="s">
        <v>39</v>
      </c>
      <c r="AG19" s="1"/>
      <c r="AH19" s="1" t="s">
        <v>39</v>
      </c>
      <c r="AJ19" s="15"/>
      <c r="AK19" s="16"/>
      <c r="AL19" s="17"/>
    </row>
    <row r="20" spans="1:38" x14ac:dyDescent="0.4">
      <c r="A20" s="1" t="s">
        <v>9</v>
      </c>
      <c r="B20" s="9">
        <v>19</v>
      </c>
      <c r="C20" s="1"/>
      <c r="D20" s="1" t="s">
        <v>39</v>
      </c>
      <c r="E20" s="1"/>
      <c r="F20" s="1" t="s">
        <v>3</v>
      </c>
      <c r="G20" s="1"/>
      <c r="H20" s="2"/>
      <c r="I20" s="1" t="s">
        <v>39</v>
      </c>
      <c r="J20" s="1"/>
      <c r="K20" s="1" t="s">
        <v>21</v>
      </c>
      <c r="L20" s="1" t="s">
        <v>2</v>
      </c>
      <c r="M20" s="1" t="s">
        <v>23</v>
      </c>
      <c r="N20" s="1" t="s">
        <v>39</v>
      </c>
      <c r="O20" s="1"/>
      <c r="P20" s="1"/>
      <c r="Q20" s="1"/>
      <c r="R20" s="1"/>
      <c r="S20" s="1" t="s">
        <v>39</v>
      </c>
      <c r="T20" s="1" t="s">
        <v>39</v>
      </c>
      <c r="W20" s="1" t="str">
        <f t="shared" si="0"/>
        <v>Cyr</v>
      </c>
      <c r="X20" s="1" t="str">
        <f t="shared" si="1"/>
        <v>Dadashzadeh</v>
      </c>
      <c r="Y20" s="1" t="str">
        <f t="shared" si="2"/>
        <v/>
      </c>
      <c r="Z20" s="1" t="str">
        <f t="shared" si="3"/>
        <v>Tam</v>
      </c>
      <c r="AA20" s="1" t="str">
        <f t="shared" si="4"/>
        <v>Griepentrog</v>
      </c>
      <c r="AB20" s="1" t="str">
        <f t="shared" si="4"/>
        <v/>
      </c>
      <c r="AC20" s="1"/>
      <c r="AD20" s="1" t="s">
        <v>39</v>
      </c>
      <c r="AE20" s="1" t="s">
        <v>39</v>
      </c>
      <c r="AF20" s="1"/>
      <c r="AG20" s="1" t="s">
        <v>39</v>
      </c>
      <c r="AH20" s="1" t="s">
        <v>39</v>
      </c>
      <c r="AJ20" s="15"/>
      <c r="AK20" s="16"/>
      <c r="AL20" s="17"/>
    </row>
    <row r="21" spans="1:38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 t="s">
        <v>3</v>
      </c>
      <c r="H21" s="2"/>
      <c r="I21" s="1"/>
      <c r="J21" s="1" t="s">
        <v>39</v>
      </c>
      <c r="K21" s="1" t="s">
        <v>39</v>
      </c>
      <c r="L21" s="1"/>
      <c r="M21" s="1"/>
      <c r="N21" s="1"/>
      <c r="O21" s="1"/>
      <c r="P21" s="1" t="s">
        <v>2</v>
      </c>
      <c r="Q21" s="1"/>
      <c r="R21" s="1" t="s">
        <v>23</v>
      </c>
      <c r="S21" s="1" t="s">
        <v>39</v>
      </c>
      <c r="T21" s="1" t="s">
        <v>39</v>
      </c>
      <c r="W21" s="1" t="str">
        <f t="shared" si="0"/>
        <v>Kulkarni</v>
      </c>
      <c r="X21" s="1" t="str">
        <f t="shared" si="1"/>
        <v>Nicholson</v>
      </c>
      <c r="Y21" s="1" t="str">
        <f t="shared" si="2"/>
        <v/>
      </c>
      <c r="Z21" s="1" t="str">
        <f t="shared" si="3"/>
        <v/>
      </c>
      <c r="AA21" s="1" t="str">
        <f t="shared" si="4"/>
        <v>Handzel</v>
      </c>
      <c r="AB21" s="1" t="str">
        <f t="shared" si="4"/>
        <v/>
      </c>
      <c r="AC21" s="1"/>
      <c r="AD21" s="1" t="s">
        <v>39</v>
      </c>
      <c r="AE21" s="1" t="s">
        <v>39</v>
      </c>
      <c r="AF21" s="1"/>
      <c r="AG21" s="1"/>
      <c r="AH21" s="1" t="s">
        <v>39</v>
      </c>
      <c r="AJ21" s="19"/>
      <c r="AK21" s="22"/>
      <c r="AL21" s="17"/>
    </row>
    <row r="22" spans="1:38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 t="s">
        <v>39</v>
      </c>
      <c r="H22" s="2" t="s">
        <v>3</v>
      </c>
      <c r="I22" s="1" t="s">
        <v>23</v>
      </c>
      <c r="J22" s="1" t="s">
        <v>39</v>
      </c>
      <c r="K22" s="1"/>
      <c r="L22" s="1"/>
      <c r="M22" s="1"/>
      <c r="N22" s="1" t="s">
        <v>39</v>
      </c>
      <c r="O22" s="1" t="s">
        <v>21</v>
      </c>
      <c r="P22" s="1" t="s">
        <v>39</v>
      </c>
      <c r="Q22" s="1"/>
      <c r="R22" s="1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Okolo</v>
      </c>
      <c r="Y22" s="1" t="str">
        <f t="shared" si="2"/>
        <v/>
      </c>
      <c r="Z22" s="1" t="str">
        <f t="shared" si="3"/>
        <v>Huckaby</v>
      </c>
      <c r="AA22" s="1" t="str">
        <f t="shared" si="4"/>
        <v>Hill (Kirk)</v>
      </c>
      <c r="AB22" s="1" t="str">
        <f t="shared" si="4"/>
        <v/>
      </c>
      <c r="AC22" s="1"/>
      <c r="AD22" s="1"/>
      <c r="AE22" s="1" t="s">
        <v>39</v>
      </c>
      <c r="AF22" s="1"/>
      <c r="AG22" s="1" t="s">
        <v>39</v>
      </c>
      <c r="AH22" s="1" t="s">
        <v>39</v>
      </c>
      <c r="AJ22" s="15"/>
      <c r="AK22" s="22"/>
      <c r="AL22" s="17"/>
    </row>
    <row r="23" spans="1:38" x14ac:dyDescent="0.4">
      <c r="A23" s="1" t="s">
        <v>5</v>
      </c>
      <c r="B23" s="9">
        <v>22</v>
      </c>
      <c r="C23" s="1"/>
      <c r="D23" s="1" t="s">
        <v>39</v>
      </c>
      <c r="E23" s="1" t="s">
        <v>39</v>
      </c>
      <c r="F23" s="1"/>
      <c r="G23" s="1" t="s">
        <v>2</v>
      </c>
      <c r="H23" s="2"/>
      <c r="I23" s="1"/>
      <c r="J23" s="1" t="s">
        <v>39</v>
      </c>
      <c r="K23" s="1" t="s">
        <v>3</v>
      </c>
      <c r="L23" s="1" t="s">
        <v>39</v>
      </c>
      <c r="M23" s="1" t="s">
        <v>21</v>
      </c>
      <c r="N23" s="1" t="s">
        <v>39</v>
      </c>
      <c r="O23" s="1"/>
      <c r="P23" s="1" t="s">
        <v>39</v>
      </c>
      <c r="Q23" s="1" t="s">
        <v>39</v>
      </c>
      <c r="R23" s="1"/>
      <c r="S23" s="1" t="s">
        <v>39</v>
      </c>
      <c r="T23" s="1" t="s">
        <v>39</v>
      </c>
      <c r="W23" s="1" t="str">
        <f t="shared" si="0"/>
        <v>Handzel</v>
      </c>
      <c r="X23" s="1" t="str">
        <f t="shared" si="1"/>
        <v/>
      </c>
      <c r="Y23" s="1" t="str">
        <f t="shared" si="2"/>
        <v/>
      </c>
      <c r="Z23" s="1" t="str">
        <f t="shared" si="3"/>
        <v>Dadashzadeh</v>
      </c>
      <c r="AA23" s="1" t="str">
        <f t="shared" si="4"/>
        <v>Tam</v>
      </c>
      <c r="AB23" s="1" t="str">
        <f t="shared" si="4"/>
        <v/>
      </c>
      <c r="AC23" s="1"/>
      <c r="AD23" s="1" t="s">
        <v>39</v>
      </c>
      <c r="AE23" s="1"/>
      <c r="AF23" s="1"/>
      <c r="AG23" s="1" t="s">
        <v>39</v>
      </c>
      <c r="AH23" s="1" t="s">
        <v>39</v>
      </c>
      <c r="AJ23" s="15"/>
      <c r="AK23" s="22"/>
      <c r="AL23" s="17"/>
    </row>
    <row r="24" spans="1:38" x14ac:dyDescent="0.4">
      <c r="A24" s="1" t="s">
        <v>6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1"/>
      <c r="H24" s="2"/>
      <c r="I24" s="1"/>
      <c r="J24" s="1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1" t="s">
        <v>39</v>
      </c>
      <c r="R24" s="1"/>
      <c r="S24" s="1" t="s">
        <v>39</v>
      </c>
      <c r="T24" s="1" t="s">
        <v>39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 t="s">
        <v>39</v>
      </c>
      <c r="AE24" s="1"/>
      <c r="AF24" s="1"/>
      <c r="AG24" s="1"/>
      <c r="AH24" s="1" t="s">
        <v>39</v>
      </c>
      <c r="AJ24" s="15"/>
      <c r="AK24" s="22"/>
      <c r="AL24" s="17"/>
    </row>
    <row r="25" spans="1:38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2" t="s">
        <v>23</v>
      </c>
      <c r="I25" s="1"/>
      <c r="J25" s="1"/>
      <c r="K25" s="1" t="s">
        <v>39</v>
      </c>
      <c r="L25" s="1"/>
      <c r="M25" s="1"/>
      <c r="N25" s="1" t="s">
        <v>39</v>
      </c>
      <c r="O25" s="1"/>
      <c r="P25" s="1" t="s">
        <v>39</v>
      </c>
      <c r="Q25" s="1" t="s">
        <v>39</v>
      </c>
      <c r="R25" s="1" t="s">
        <v>3</v>
      </c>
      <c r="S25" s="1" t="s">
        <v>39</v>
      </c>
      <c r="T25" s="1" t="s">
        <v>39</v>
      </c>
      <c r="W25" s="1" t="str">
        <f t="shared" si="0"/>
        <v/>
      </c>
      <c r="X25" s="1" t="str">
        <f t="shared" si="1"/>
        <v>Hill (Kirk)</v>
      </c>
      <c r="Y25" s="1" t="str">
        <f t="shared" si="2"/>
        <v/>
      </c>
      <c r="Z25" s="1" t="str">
        <f t="shared" si="3"/>
        <v/>
      </c>
      <c r="AA25" s="1" t="str">
        <f t="shared" si="4"/>
        <v>Nicholson</v>
      </c>
      <c r="AB25" s="1" t="str">
        <f t="shared" si="4"/>
        <v/>
      </c>
      <c r="AC25" s="1"/>
      <c r="AD25" s="1"/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s="5" customFormat="1" x14ac:dyDescent="0.4">
      <c r="A26" s="2" t="s">
        <v>8</v>
      </c>
      <c r="B26" s="21">
        <v>25</v>
      </c>
      <c r="C26" s="2" t="s">
        <v>3</v>
      </c>
      <c r="D26" s="2" t="s">
        <v>39</v>
      </c>
      <c r="E26" s="2" t="s">
        <v>39</v>
      </c>
      <c r="F26" s="2"/>
      <c r="G26" s="2"/>
      <c r="H26" s="2"/>
      <c r="I26" s="2"/>
      <c r="J26" s="2" t="s">
        <v>2</v>
      </c>
      <c r="K26" s="2"/>
      <c r="L26" s="2" t="s">
        <v>21</v>
      </c>
      <c r="M26" s="2" t="s">
        <v>23</v>
      </c>
      <c r="N26" s="2" t="s">
        <v>39</v>
      </c>
      <c r="O26" s="2" t="s">
        <v>39</v>
      </c>
      <c r="P26" s="2" t="s">
        <v>39</v>
      </c>
      <c r="Q26" s="2"/>
      <c r="R26" s="2"/>
      <c r="S26" s="2" t="s">
        <v>39</v>
      </c>
      <c r="T26" s="2" t="s">
        <v>39</v>
      </c>
      <c r="W26" s="2" t="str">
        <f t="shared" si="0"/>
        <v>Siow</v>
      </c>
      <c r="X26" s="2" t="str">
        <f t="shared" si="1"/>
        <v>Dadashzadeh</v>
      </c>
      <c r="Y26" s="2" t="str">
        <f t="shared" si="2"/>
        <v/>
      </c>
      <c r="Z26" s="2" t="str">
        <f t="shared" si="3"/>
        <v>Cyr</v>
      </c>
      <c r="AA26" s="2" t="str">
        <f t="shared" si="4"/>
        <v>Dyer</v>
      </c>
      <c r="AB26" s="2" t="str">
        <f t="shared" si="4"/>
        <v/>
      </c>
      <c r="AC26" s="2"/>
      <c r="AD26" s="2" t="s">
        <v>39</v>
      </c>
      <c r="AE26" s="2" t="s">
        <v>39</v>
      </c>
      <c r="AF26" s="2"/>
      <c r="AG26" s="2" t="s">
        <v>39</v>
      </c>
      <c r="AH26" s="2" t="s">
        <v>39</v>
      </c>
      <c r="AI26" s="2"/>
      <c r="AJ26" s="29"/>
      <c r="AK26" s="35"/>
      <c r="AL26" s="30"/>
    </row>
    <row r="27" spans="1:38" x14ac:dyDescent="0.4">
      <c r="A27" s="1" t="s">
        <v>9</v>
      </c>
      <c r="B27" s="9">
        <v>26</v>
      </c>
      <c r="C27" s="1"/>
      <c r="D27" s="1" t="s">
        <v>2</v>
      </c>
      <c r="E27" s="1"/>
      <c r="F27" s="1"/>
      <c r="G27" s="1" t="s">
        <v>39</v>
      </c>
      <c r="H27" s="2"/>
      <c r="I27" s="1" t="s">
        <v>21</v>
      </c>
      <c r="J27" s="1"/>
      <c r="K27" s="1"/>
      <c r="L27" s="1"/>
      <c r="M27" s="1"/>
      <c r="N27" s="1" t="s">
        <v>39</v>
      </c>
      <c r="O27" s="1" t="s">
        <v>23</v>
      </c>
      <c r="P27" s="1" t="s">
        <v>39</v>
      </c>
      <c r="Q27" s="1"/>
      <c r="R27" s="1"/>
      <c r="S27" s="1" t="s">
        <v>39</v>
      </c>
      <c r="T27" s="1" t="s">
        <v>39</v>
      </c>
      <c r="W27" s="1" t="str">
        <f t="shared" si="0"/>
        <v>Van Der Windt</v>
      </c>
      <c r="X27" s="1" t="str">
        <f t="shared" si="1"/>
        <v>Huckaby</v>
      </c>
      <c r="Y27" s="1" t="str">
        <f t="shared" si="2"/>
        <v/>
      </c>
      <c r="Z27" s="1" t="str">
        <f t="shared" si="3"/>
        <v>Okolo</v>
      </c>
      <c r="AA27" s="1" t="str">
        <f t="shared" si="4"/>
        <v>NEEDS COVERAGE</v>
      </c>
      <c r="AB27" s="1" t="str">
        <f t="shared" si="4"/>
        <v/>
      </c>
      <c r="AC27" s="1"/>
      <c r="AD27" s="1" t="s">
        <v>39</v>
      </c>
      <c r="AE27" s="1" t="s">
        <v>39</v>
      </c>
      <c r="AF27" s="1"/>
      <c r="AG27" s="1" t="s">
        <v>39</v>
      </c>
      <c r="AH27" s="1" t="s">
        <v>39</v>
      </c>
      <c r="AJ27" s="15"/>
      <c r="AK27" s="22"/>
      <c r="AL27" s="17"/>
    </row>
    <row r="28" spans="1:38" x14ac:dyDescent="0.4">
      <c r="A28" s="1" t="s">
        <v>4</v>
      </c>
      <c r="B28" s="9">
        <v>27</v>
      </c>
      <c r="C28" s="1"/>
      <c r="D28" s="1" t="s">
        <v>39</v>
      </c>
      <c r="E28" s="1"/>
      <c r="F28" s="1"/>
      <c r="G28" s="1"/>
      <c r="H28" s="2" t="s">
        <v>39</v>
      </c>
      <c r="I28" s="1"/>
      <c r="J28" s="1"/>
      <c r="K28" s="1" t="s">
        <v>39</v>
      </c>
      <c r="L28" s="1"/>
      <c r="M28" s="1"/>
      <c r="N28" s="1" t="s">
        <v>23</v>
      </c>
      <c r="O28" s="1"/>
      <c r="P28" s="1" t="s">
        <v>39</v>
      </c>
      <c r="Q28" s="1" t="s">
        <v>2</v>
      </c>
      <c r="R28" s="1" t="s">
        <v>3</v>
      </c>
      <c r="S28" s="1" t="s">
        <v>39</v>
      </c>
      <c r="T28" s="1" t="s">
        <v>39</v>
      </c>
      <c r="W28" s="1" t="str">
        <f t="shared" si="0"/>
        <v>Myers</v>
      </c>
      <c r="X28" s="1" t="str">
        <f t="shared" si="1"/>
        <v>Gallagher</v>
      </c>
      <c r="Y28" s="1" t="str">
        <f t="shared" si="2"/>
        <v/>
      </c>
      <c r="Z28" s="1" t="str">
        <f t="shared" si="3"/>
        <v/>
      </c>
      <c r="AA28" s="1" t="str">
        <f t="shared" si="4"/>
        <v>Nicholson</v>
      </c>
      <c r="AB28" s="1" t="str">
        <f t="shared" si="4"/>
        <v/>
      </c>
      <c r="AC28" s="1"/>
      <c r="AD28" s="1" t="s">
        <v>39</v>
      </c>
      <c r="AE28" s="1" t="s">
        <v>39</v>
      </c>
      <c r="AF28" s="1"/>
      <c r="AG28" s="1"/>
      <c r="AH28" s="1" t="s">
        <v>39</v>
      </c>
      <c r="AJ28" s="15"/>
      <c r="AK28" s="22"/>
      <c r="AL28" s="17"/>
    </row>
    <row r="29" spans="1:38" x14ac:dyDescent="0.4">
      <c r="A29" s="1" t="s">
        <v>10</v>
      </c>
      <c r="B29" s="9">
        <v>28</v>
      </c>
      <c r="C29" s="1" t="s">
        <v>23</v>
      </c>
      <c r="D29" s="1"/>
      <c r="E29" s="1" t="s">
        <v>21</v>
      </c>
      <c r="F29" s="1"/>
      <c r="G29" s="1" t="s">
        <v>39</v>
      </c>
      <c r="H29" s="2" t="s">
        <v>39</v>
      </c>
      <c r="I29" s="1"/>
      <c r="J29" s="1"/>
      <c r="K29" s="1"/>
      <c r="L29" s="1" t="s">
        <v>3</v>
      </c>
      <c r="M29" s="1"/>
      <c r="N29" s="1" t="s">
        <v>39</v>
      </c>
      <c r="O29" s="1"/>
      <c r="P29" s="1" t="s">
        <v>39</v>
      </c>
      <c r="Q29" s="1"/>
      <c r="R29" s="1"/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Dyer</v>
      </c>
      <c r="Y29" s="1" t="str">
        <f t="shared" si="2"/>
        <v/>
      </c>
      <c r="Z29" s="1" t="str">
        <f t="shared" si="3"/>
        <v>Yeh</v>
      </c>
      <c r="AA29" s="1" t="str">
        <f t="shared" si="4"/>
        <v>Cyr</v>
      </c>
      <c r="AB29" s="1" t="str">
        <f t="shared" si="4"/>
        <v/>
      </c>
      <c r="AC29" s="1"/>
      <c r="AD29" s="1"/>
      <c r="AE29" s="1" t="s">
        <v>39</v>
      </c>
      <c r="AF29" s="1"/>
      <c r="AG29" s="1" t="s">
        <v>39</v>
      </c>
      <c r="AH29" s="1" t="s">
        <v>39</v>
      </c>
      <c r="AJ29" s="15"/>
      <c r="AK29" s="22"/>
      <c r="AL29" s="17"/>
    </row>
    <row r="30" spans="1:38" x14ac:dyDescent="0.4">
      <c r="A30" s="1" t="s">
        <v>5</v>
      </c>
      <c r="B30" s="9">
        <v>29</v>
      </c>
      <c r="C30" s="1"/>
      <c r="D30" s="1"/>
      <c r="E30" s="1"/>
      <c r="F30" s="1"/>
      <c r="G30" s="1" t="s">
        <v>39</v>
      </c>
      <c r="H30" s="2" t="s">
        <v>39</v>
      </c>
      <c r="I30" s="1" t="s">
        <v>3</v>
      </c>
      <c r="J30" s="1" t="s">
        <v>39</v>
      </c>
      <c r="K30" s="1" t="s">
        <v>2</v>
      </c>
      <c r="L30" s="1"/>
      <c r="M30" s="1" t="s">
        <v>39</v>
      </c>
      <c r="N30" s="1"/>
      <c r="O30" s="1"/>
      <c r="P30" s="1"/>
      <c r="Q30" s="1"/>
      <c r="R30" s="1"/>
      <c r="S30" s="1" t="s">
        <v>39</v>
      </c>
      <c r="T30" s="1" t="s">
        <v>39</v>
      </c>
      <c r="W30" s="1" t="str">
        <f t="shared" si="0"/>
        <v>Tam</v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Okolo</v>
      </c>
      <c r="AB30" s="1" t="str">
        <f t="shared" si="4"/>
        <v/>
      </c>
      <c r="AC30" s="1"/>
      <c r="AD30" s="1" t="s">
        <v>39</v>
      </c>
      <c r="AE30" s="1"/>
      <c r="AF30" s="1"/>
      <c r="AG30" s="1"/>
      <c r="AH30" s="1" t="s">
        <v>39</v>
      </c>
      <c r="AJ30" s="15"/>
      <c r="AK30" s="22"/>
      <c r="AL30" s="17"/>
    </row>
    <row r="31" spans="1:38" x14ac:dyDescent="0.4">
      <c r="A31" s="1" t="s">
        <v>6</v>
      </c>
      <c r="B31" s="9">
        <v>30</v>
      </c>
      <c r="C31" s="1"/>
      <c r="D31" s="1"/>
      <c r="E31" s="1" t="s">
        <v>39</v>
      </c>
      <c r="F31" s="1"/>
      <c r="G31" s="1"/>
      <c r="H31" s="2" t="s">
        <v>39</v>
      </c>
      <c r="I31" s="1"/>
      <c r="J31" s="1" t="s">
        <v>39</v>
      </c>
      <c r="K31" s="1"/>
      <c r="L31" s="1"/>
      <c r="M31" s="1" t="s">
        <v>39</v>
      </c>
      <c r="N31" s="1"/>
      <c r="O31" s="1"/>
      <c r="P31" s="1"/>
      <c r="Q31" s="1"/>
      <c r="R31" s="1"/>
      <c r="S31" s="1" t="s">
        <v>39</v>
      </c>
      <c r="T31" s="1" t="s">
        <v>39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1"/>
      <c r="AD31" s="1"/>
      <c r="AE31" s="1"/>
      <c r="AF31" s="1"/>
      <c r="AG31" s="1"/>
      <c r="AH31" s="1" t="s">
        <v>39</v>
      </c>
      <c r="AJ31" s="15"/>
      <c r="AK31" s="22"/>
      <c r="AL31" s="17"/>
    </row>
    <row r="32" spans="1:38" x14ac:dyDescent="0.4">
      <c r="B32" s="9"/>
      <c r="C32" s="1"/>
      <c r="D32" s="1"/>
      <c r="E32" s="1"/>
      <c r="F32" s="1"/>
      <c r="G32" s="1"/>
      <c r="H32" s="2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  <c r="AH32" s="1"/>
      <c r="AJ32" s="15"/>
      <c r="AK32" s="22"/>
      <c r="AL32" s="17"/>
    </row>
    <row r="33" spans="1:37" x14ac:dyDescent="0.4">
      <c r="B33" s="20"/>
      <c r="C33" s="1"/>
      <c r="D33" s="1"/>
      <c r="E33" s="1"/>
      <c r="F33" s="1"/>
      <c r="G33" s="1"/>
      <c r="H33" s="2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2"/>
    </row>
    <row r="34" spans="1:37" x14ac:dyDescent="0.4">
      <c r="A34" s="7" t="s">
        <v>11</v>
      </c>
      <c r="B34" s="20"/>
      <c r="C34" s="7" t="s">
        <v>50</v>
      </c>
      <c r="D34" s="7" t="s">
        <v>41</v>
      </c>
      <c r="E34" s="7" t="s">
        <v>41</v>
      </c>
      <c r="F34" s="7" t="s">
        <v>41</v>
      </c>
      <c r="G34" s="7" t="s">
        <v>48</v>
      </c>
      <c r="H34" s="31" t="s">
        <v>48</v>
      </c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7" t="s">
        <v>48</v>
      </c>
      <c r="R34" s="7" t="s">
        <v>58</v>
      </c>
      <c r="S34" s="7" t="s">
        <v>60</v>
      </c>
      <c r="T34" s="7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17</v>
      </c>
      <c r="AE34" s="1">
        <f>COUNTIF(AE2:AE31,"x")</f>
        <v>20</v>
      </c>
      <c r="AF34" s="1">
        <f>COUNTIF(AF2:AF31,"x")</f>
        <v>1</v>
      </c>
      <c r="AG34" s="1">
        <f>COUNTIF(AG2:AG31,"x")</f>
        <v>11</v>
      </c>
      <c r="AH34" s="1">
        <f>COUNTIF(AH2:AH31,"x")</f>
        <v>30</v>
      </c>
      <c r="AK34" s="22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1">
        <f t="shared" ref="D35:T35" si="5">COUNTIF(D2:D32,"Trauma")+COUNTIF(D2:D32,"CHP*")+COUNTIF(D2:D32,"SHY")+COUNTIF(D2:D32,"CT")+COUNTIF(D2:D32,"6FG")</f>
        <v>3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2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4</v>
      </c>
      <c r="M35" s="1">
        <f t="shared" si="5"/>
        <v>5</v>
      </c>
      <c r="N35" s="1">
        <f t="shared" si="5"/>
        <v>5</v>
      </c>
      <c r="O35" s="1">
        <f t="shared" si="5"/>
        <v>5</v>
      </c>
      <c r="P35" s="1">
        <f t="shared" si="5"/>
        <v>3</v>
      </c>
      <c r="Q35" s="1">
        <f t="shared" si="5"/>
        <v>5</v>
      </c>
      <c r="R35" s="1">
        <f t="shared" si="5"/>
        <v>6</v>
      </c>
      <c r="S35" s="1">
        <f t="shared" si="5"/>
        <v>0</v>
      </c>
      <c r="T35" s="1">
        <f t="shared" si="5"/>
        <v>0</v>
      </c>
      <c r="V35" s="3"/>
      <c r="Y35" s="24"/>
      <c r="Z35" s="24"/>
      <c r="AA35" s="24"/>
      <c r="AB35" s="24"/>
      <c r="AC35" s="24"/>
      <c r="AI35" s="7"/>
      <c r="AK35" s="22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3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21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4</v>
      </c>
      <c r="M36" s="9">
        <f t="shared" si="7"/>
        <v>5</v>
      </c>
      <c r="N36" s="9">
        <f t="shared" si="7"/>
        <v>5</v>
      </c>
      <c r="O36" s="9">
        <f t="shared" si="7"/>
        <v>5</v>
      </c>
      <c r="P36" s="9">
        <f t="shared" si="7"/>
        <v>3</v>
      </c>
      <c r="Q36" s="9">
        <f t="shared" si="7"/>
        <v>5</v>
      </c>
      <c r="R36" s="9">
        <f t="shared" si="7"/>
        <v>6</v>
      </c>
      <c r="S36" s="9">
        <f t="shared" si="7"/>
        <v>0</v>
      </c>
      <c r="T36" s="9">
        <f t="shared" si="7"/>
        <v>0</v>
      </c>
      <c r="W36" s="14" t="s">
        <v>45</v>
      </c>
      <c r="X36" s="3">
        <f>SUM(AD34:AG34)</f>
        <v>49</v>
      </c>
      <c r="AK36" s="22"/>
    </row>
    <row r="37" spans="1:37" x14ac:dyDescent="0.4">
      <c r="A37" s="1" t="s">
        <v>30</v>
      </c>
      <c r="B37" s="9"/>
      <c r="C37" s="9">
        <f t="shared" ref="C37:T37" si="8">C36-C35</f>
        <v>0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21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S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8"/>
        <v>0</v>
      </c>
      <c r="W37" s="10" t="s">
        <v>46</v>
      </c>
      <c r="X37" s="3">
        <f>SUM($AD$34:$AH$34)</f>
        <v>79</v>
      </c>
      <c r="AK37" s="22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21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47</v>
      </c>
      <c r="X38" s="3">
        <f>SUM(D36:T36)</f>
        <v>67</v>
      </c>
      <c r="AK38" s="22"/>
    </row>
    <row r="39" spans="1:37" x14ac:dyDescent="0.4">
      <c r="A39" s="1" t="s">
        <v>2</v>
      </c>
      <c r="B39" s="9"/>
      <c r="C39" s="9">
        <f t="shared" ref="C39:S39" si="10">COUNTIF(C$2:C$32,$A39)</f>
        <v>1</v>
      </c>
      <c r="D39" s="9">
        <f t="shared" si="10"/>
        <v>1</v>
      </c>
      <c r="E39" s="9">
        <f t="shared" si="10"/>
        <v>1</v>
      </c>
      <c r="F39" s="9">
        <f t="shared" si="10"/>
        <v>1</v>
      </c>
      <c r="G39" s="9">
        <f t="shared" si="10"/>
        <v>1</v>
      </c>
      <c r="H39" s="21">
        <f t="shared" si="10"/>
        <v>2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2</v>
      </c>
      <c r="N39" s="9">
        <f t="shared" si="10"/>
        <v>1</v>
      </c>
      <c r="O39" s="9">
        <f t="shared" si="10"/>
        <v>0</v>
      </c>
      <c r="P39" s="9">
        <f t="shared" si="10"/>
        <v>1</v>
      </c>
      <c r="Q39" s="9">
        <f t="shared" si="10"/>
        <v>2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2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21">
        <f t="shared" si="11"/>
        <v>0</v>
      </c>
      <c r="I40" s="9">
        <f t="shared" si="11"/>
        <v>0</v>
      </c>
      <c r="J40" s="9">
        <f t="shared" si="11"/>
        <v>1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2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1</v>
      </c>
      <c r="F41" s="9">
        <f t="shared" si="11"/>
        <v>0</v>
      </c>
      <c r="G41" s="9">
        <f t="shared" si="11"/>
        <v>1</v>
      </c>
      <c r="H41" s="21">
        <f t="shared" si="11"/>
        <v>0</v>
      </c>
      <c r="I41" s="9">
        <f t="shared" si="11"/>
        <v>1</v>
      </c>
      <c r="J41" s="9">
        <f t="shared" si="11"/>
        <v>0</v>
      </c>
      <c r="K41" s="9">
        <f t="shared" si="11"/>
        <v>1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1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2"/>
    </row>
    <row r="42" spans="1:37" x14ac:dyDescent="0.4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1</v>
      </c>
      <c r="F42" s="9">
        <f t="shared" si="11"/>
        <v>0</v>
      </c>
      <c r="G42" s="9">
        <f t="shared" si="11"/>
        <v>1</v>
      </c>
      <c r="H42" s="21">
        <f t="shared" si="11"/>
        <v>2</v>
      </c>
      <c r="I42" s="9">
        <f t="shared" si="11"/>
        <v>2</v>
      </c>
      <c r="J42" s="9">
        <f t="shared" si="11"/>
        <v>1</v>
      </c>
      <c r="K42" s="9">
        <f t="shared" si="11"/>
        <v>1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2</v>
      </c>
      <c r="P42" s="9">
        <f t="shared" si="11"/>
        <v>1</v>
      </c>
      <c r="Q42" s="9">
        <f t="shared" si="11"/>
        <v>0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2"/>
    </row>
    <row r="43" spans="1:37" x14ac:dyDescent="0.4">
      <c r="A43" s="1" t="s">
        <v>3</v>
      </c>
      <c r="B43" s="9"/>
      <c r="C43" s="9">
        <f t="shared" si="11"/>
        <v>2</v>
      </c>
      <c r="D43" s="9">
        <f t="shared" si="11"/>
        <v>1</v>
      </c>
      <c r="E43" s="9">
        <f t="shared" si="11"/>
        <v>0</v>
      </c>
      <c r="F43" s="9">
        <f t="shared" si="11"/>
        <v>2</v>
      </c>
      <c r="G43" s="9">
        <f t="shared" si="11"/>
        <v>2</v>
      </c>
      <c r="H43" s="21">
        <f t="shared" si="11"/>
        <v>1</v>
      </c>
      <c r="I43" s="9">
        <f t="shared" si="11"/>
        <v>1</v>
      </c>
      <c r="J43" s="9">
        <f t="shared" si="11"/>
        <v>1</v>
      </c>
      <c r="K43" s="9">
        <f t="shared" si="11"/>
        <v>2</v>
      </c>
      <c r="L43" s="9">
        <f t="shared" si="11"/>
        <v>1</v>
      </c>
      <c r="M43" s="9">
        <f t="shared" si="11"/>
        <v>0</v>
      </c>
      <c r="N43" s="9">
        <f t="shared" si="11"/>
        <v>1</v>
      </c>
      <c r="O43" s="9">
        <f t="shared" si="11"/>
        <v>2</v>
      </c>
      <c r="P43" s="9">
        <f t="shared" si="11"/>
        <v>0</v>
      </c>
      <c r="Q43" s="9">
        <f t="shared" si="11"/>
        <v>2</v>
      </c>
      <c r="R43" s="9">
        <f t="shared" si="11"/>
        <v>3</v>
      </c>
      <c r="S43" s="9">
        <f t="shared" si="11"/>
        <v>0</v>
      </c>
      <c r="T43" s="9">
        <f t="shared" si="11"/>
        <v>0</v>
      </c>
      <c r="AK43" s="22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1</v>
      </c>
      <c r="E44" s="1">
        <f t="shared" si="12"/>
        <v>0</v>
      </c>
      <c r="F44" s="1">
        <f t="shared" si="12"/>
        <v>0</v>
      </c>
      <c r="G44" s="1">
        <f t="shared" si="12"/>
        <v>1</v>
      </c>
      <c r="H44" s="2">
        <f t="shared" si="12"/>
        <v>1</v>
      </c>
      <c r="I44" s="1">
        <f t="shared" si="12"/>
        <v>1</v>
      </c>
      <c r="J44" s="1">
        <f t="shared" si="12"/>
        <v>1</v>
      </c>
      <c r="K44" s="1">
        <f t="shared" si="12"/>
        <v>2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1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1</v>
      </c>
      <c r="R44" s="1">
        <f t="shared" si="13"/>
        <v>0</v>
      </c>
      <c r="S44" s="1"/>
      <c r="T44" s="1">
        <f t="shared" si="12"/>
        <v>0</v>
      </c>
      <c r="AK44" s="22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1</v>
      </c>
      <c r="D45" s="1">
        <f t="shared" si="14"/>
        <v>0</v>
      </c>
      <c r="E45" s="1">
        <f t="shared" si="14"/>
        <v>0</v>
      </c>
      <c r="F45" s="1">
        <f t="shared" si="14"/>
        <v>1</v>
      </c>
      <c r="G45" s="1">
        <f t="shared" si="14"/>
        <v>0</v>
      </c>
      <c r="H45" s="2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1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2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2">
        <f t="shared" si="16"/>
        <v>1</v>
      </c>
      <c r="I46" s="1">
        <f t="shared" si="16"/>
        <v>0</v>
      </c>
      <c r="J46" s="1">
        <f t="shared" si="16"/>
        <v>1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1</v>
      </c>
      <c r="O46" s="1">
        <f t="shared" si="17"/>
        <v>2</v>
      </c>
      <c r="P46" s="1">
        <f t="shared" si="17"/>
        <v>0</v>
      </c>
      <c r="Q46" s="1">
        <f t="shared" si="17"/>
        <v>0</v>
      </c>
      <c r="R46" s="1">
        <f t="shared" si="17"/>
        <v>1</v>
      </c>
      <c r="S46" s="1"/>
      <c r="T46" s="1">
        <f t="shared" si="16"/>
        <v>0</v>
      </c>
      <c r="AK46" s="22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1</v>
      </c>
      <c r="E47" s="1">
        <f t="shared" si="18"/>
        <v>0</v>
      </c>
      <c r="F47" s="1">
        <f t="shared" si="18"/>
        <v>1</v>
      </c>
      <c r="G47" s="1">
        <f t="shared" si="18"/>
        <v>2</v>
      </c>
      <c r="H47" s="2">
        <f t="shared" si="18"/>
        <v>3</v>
      </c>
      <c r="I47" s="1">
        <f t="shared" si="18"/>
        <v>1</v>
      </c>
      <c r="J47" s="1">
        <f t="shared" si="18"/>
        <v>2</v>
      </c>
      <c r="K47" s="1">
        <f t="shared" si="18"/>
        <v>2</v>
      </c>
      <c r="L47" s="1">
        <f t="shared" ref="L47:R47" si="19">SUM(L44:L46)</f>
        <v>0</v>
      </c>
      <c r="M47" s="1">
        <f t="shared" si="19"/>
        <v>2</v>
      </c>
      <c r="N47" s="1">
        <f t="shared" si="19"/>
        <v>2</v>
      </c>
      <c r="O47" s="1">
        <f t="shared" si="19"/>
        <v>2</v>
      </c>
      <c r="P47" s="1">
        <f t="shared" si="19"/>
        <v>0</v>
      </c>
      <c r="Q47" s="1">
        <f t="shared" si="19"/>
        <v>1</v>
      </c>
      <c r="R47" s="1">
        <f t="shared" si="19"/>
        <v>1</v>
      </c>
      <c r="S47" s="1"/>
      <c r="T47" s="1">
        <f t="shared" si="18"/>
        <v>0</v>
      </c>
      <c r="AK47" s="22"/>
    </row>
    <row r="48" spans="1:37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0.9285714285714286</v>
      </c>
      <c r="F48" s="11">
        <f>SUMPRODUCT(COUNTIFS($A$2:$A$32,{"Fri";"Sat";"Sun"},F$2:F$32,"x"))/$B48</f>
        <v>0.6428571428571429</v>
      </c>
      <c r="G48" s="11">
        <f>SUMPRODUCT(COUNTIFS($A$2:$A$32,{"Fri";"Sat";"Sun"},G$2:G$32,"x"))/$B48</f>
        <v>0.42857142857142855</v>
      </c>
      <c r="H48" s="32">
        <f>SUMPRODUCT(COUNTIFS($A$2:$A$32,{"Fri";"Sat";"Sun"},H$2:H$32,"x"))/$B48</f>
        <v>0.14285714285714285</v>
      </c>
      <c r="I48" s="11">
        <f>SUMPRODUCT(COUNTIFS($A$2:$A$32,{"Fri";"Sat";"Sun"},I$2:I$32,"x"))/$B48</f>
        <v>0.6428571428571429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11">
        <f>SUMPRODUCT(COUNTIFS($A$2:$A$32,{"Fri";"Sat";"Sun"},R$2:R$32,"x"))/$B48</f>
        <v>0.35714285714285715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3"/>
    </row>
    <row r="49" spans="1:37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0.26666666666666666</v>
      </c>
      <c r="D49" s="11">
        <f t="shared" si="20"/>
        <v>0.73333333333333328</v>
      </c>
      <c r="E49" s="11">
        <f t="shared" si="20"/>
        <v>0.53333333333333333</v>
      </c>
      <c r="F49" s="11">
        <f t="shared" si="20"/>
        <v>0.33333333333333331</v>
      </c>
      <c r="G49" s="11">
        <f t="shared" si="20"/>
        <v>0.4</v>
      </c>
      <c r="H49" s="32">
        <f t="shared" si="20"/>
        <v>0.16666666666666666</v>
      </c>
      <c r="I49" s="11">
        <f t="shared" si="20"/>
        <v>0.5</v>
      </c>
      <c r="J49" s="11">
        <f t="shared" si="20"/>
        <v>0.23333333333333334</v>
      </c>
      <c r="K49" s="11">
        <f t="shared" si="20"/>
        <v>0.6</v>
      </c>
      <c r="L49" s="11">
        <f t="shared" si="20"/>
        <v>0.5</v>
      </c>
      <c r="M49" s="11">
        <f t="shared" si="20"/>
        <v>0.2</v>
      </c>
      <c r="N49" s="11">
        <f t="shared" si="20"/>
        <v>0.6</v>
      </c>
      <c r="O49" s="11">
        <f t="shared" si="20"/>
        <v>0.13333333333333333</v>
      </c>
      <c r="P49" s="11">
        <f t="shared" si="20"/>
        <v>0.46666666666666667</v>
      </c>
      <c r="Q49" s="11">
        <f t="shared" si="20"/>
        <v>0.3</v>
      </c>
      <c r="R49" s="11">
        <f t="shared" si="20"/>
        <v>0.2</v>
      </c>
      <c r="S49" s="11">
        <f t="shared" si="20"/>
        <v>1</v>
      </c>
      <c r="T49" s="11">
        <f t="shared" si="20"/>
        <v>1</v>
      </c>
      <c r="AK49" s="22"/>
    </row>
    <row r="50" spans="1:37" x14ac:dyDescent="0.4">
      <c r="A50" s="3"/>
      <c r="B50" s="12"/>
      <c r="C50" s="3" t="s">
        <v>43</v>
      </c>
      <c r="D50" s="12"/>
      <c r="E50" s="12"/>
      <c r="F50" s="12"/>
      <c r="G50" s="12"/>
      <c r="H50" s="33"/>
      <c r="I50" s="12"/>
      <c r="J50" s="12"/>
      <c r="K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44</v>
      </c>
      <c r="AK50" s="22"/>
    </row>
    <row r="51" spans="1:37" x14ac:dyDescent="0.4">
      <c r="A51" s="12"/>
      <c r="B51" s="12"/>
      <c r="D51" s="12" t="s">
        <v>54</v>
      </c>
      <c r="E51" s="12"/>
      <c r="F51" s="12"/>
      <c r="G51" s="12"/>
      <c r="H51" s="33"/>
      <c r="I51" s="12"/>
      <c r="J51" s="12" t="s">
        <v>53</v>
      </c>
      <c r="K51" s="12" t="s">
        <v>57</v>
      </c>
      <c r="L51" s="12"/>
      <c r="M51" s="12"/>
      <c r="N51" s="12"/>
      <c r="P51" s="12"/>
      <c r="Q51" s="12" t="s">
        <v>51</v>
      </c>
      <c r="R51" s="3" t="s">
        <v>52</v>
      </c>
      <c r="S51" s="12"/>
      <c r="AK51" s="22"/>
    </row>
    <row r="52" spans="1:37" x14ac:dyDescent="0.4">
      <c r="A52" s="12"/>
      <c r="B52" s="12"/>
      <c r="C52" s="12"/>
      <c r="D52" s="12" t="s">
        <v>55</v>
      </c>
      <c r="E52" s="12"/>
      <c r="F52" s="12"/>
      <c r="G52" s="12"/>
      <c r="H52" s="33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 t="s">
        <v>56</v>
      </c>
      <c r="E53" s="12"/>
      <c r="F53" s="12"/>
      <c r="G53" s="12"/>
      <c r="H53" s="33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/>
    </row>
    <row r="57" spans="1:37" x14ac:dyDescent="0.4">
      <c r="C57" s="8"/>
    </row>
  </sheetData>
  <conditionalFormatting sqref="I8:S8 C4:C30 D4:S7 D8:G8 D9:S30 C31:S32 H8:H28 D7:D28 T2:T33 N5:N22">
    <cfRule type="containsText" dxfId="41" priority="77" stopIfTrue="1" operator="containsText" text="CHP Jr.">
      <formula>NOT(ISERROR(SEARCH("CHP Jr.",C2)))</formula>
    </cfRule>
    <cfRule type="containsText" dxfId="40" priority="95" stopIfTrue="1" operator="containsText" text="SHY">
      <formula>NOT(ISERROR(SEARCH("SHY",C2)))</formula>
    </cfRule>
    <cfRule type="containsText" dxfId="39" priority="96" stopIfTrue="1" operator="containsText" text="CT">
      <formula>NOT(ISERROR(SEARCH("CT",C2)))</formula>
    </cfRule>
  </conditionalFormatting>
  <conditionalFormatting sqref="AF1:AG1048576 Y1:Z1048576">
    <cfRule type="notContainsBlanks" dxfId="38" priority="98">
      <formula>LEN(TRIM(Y1))&gt;0</formula>
    </cfRule>
  </conditionalFormatting>
  <conditionalFormatting sqref="C2:T3 T3:T33 C4:S32 S3:S31">
    <cfRule type="containsText" dxfId="37" priority="51" operator="containsText" text="Transplant">
      <formula>NOT(ISERROR(SEARCH("Transplant",C2)))</formula>
    </cfRule>
    <cfRule type="containsText" dxfId="36" priority="97" stopIfTrue="1" operator="containsText" text="CHP Sr.">
      <formula>NOT(ISERROR(SEARCH("CHP Sr.",C2)))</formula>
    </cfRule>
  </conditionalFormatting>
  <conditionalFormatting sqref="H8 C2:S3 S3:S31">
    <cfRule type="containsText" dxfId="35" priority="42" stopIfTrue="1" operator="containsText" text="CHP Jr.">
      <formula>NOT(ISERROR(SEARCH("CHP Jr.",C2)))</formula>
    </cfRule>
    <cfRule type="containsText" dxfId="34" priority="43" stopIfTrue="1" operator="containsText" text="Trauma">
      <formula>NOT(ISERROR(SEARCH("Trauma",C2)))</formula>
    </cfRule>
    <cfRule type="containsText" dxfId="33" priority="44" stopIfTrue="1" operator="containsText" text="SHY">
      <formula>NOT(ISERROR(SEARCH("SHY",C2)))</formula>
    </cfRule>
    <cfRule type="containsText" dxfId="32" priority="45" stopIfTrue="1" operator="containsText" text="CT">
      <formula>NOT(ISERROR(SEARCH("CT",C2)))</formula>
    </cfRule>
  </conditionalFormatting>
  <conditionalFormatting sqref="X1:X34 X39:X1048576 AE1:AE1048576">
    <cfRule type="notContainsBlanks" dxfId="31" priority="33">
      <formula>LEN(TRIM(X1))&gt;0</formula>
    </cfRule>
  </conditionalFormatting>
  <conditionalFormatting sqref="AH1:AH1048576 AA1:AC1048576">
    <cfRule type="notContainsBlanks" dxfId="30" priority="32">
      <formula>LEN(TRIM(AA1))&gt;0</formula>
    </cfRule>
  </conditionalFormatting>
  <conditionalFormatting sqref="AD1:AD1048576 W1:W34 W36:W1048576">
    <cfRule type="notContainsBlanks" dxfId="29" priority="29">
      <formula>LEN(TRIM(W1))&gt;0</formula>
    </cfRule>
  </conditionalFormatting>
  <conditionalFormatting sqref="X2:AC32">
    <cfRule type="notContainsBlanks" dxfId="28" priority="99">
      <formula>LEN(TRIM(X2))&gt;0</formula>
    </cfRule>
  </conditionalFormatting>
  <conditionalFormatting sqref="C47:T47">
    <cfRule type="cellIs" dxfId="27" priority="22" operator="greaterThanOrEqual">
      <formula>3</formula>
    </cfRule>
    <cfRule type="cellIs" dxfId="26" priority="23" operator="equal">
      <formula>2</formula>
    </cfRule>
  </conditionalFormatting>
  <conditionalFormatting sqref="I8:S8 C4:C30 D4:S7 D8:G8 D9:S30 C31:S32 H8:H28 D7:D28 T2:T33 N5:N22">
    <cfRule type="containsText" dxfId="25" priority="94" stopIfTrue="1" operator="containsText" text="Trauma">
      <formula>NOT(ISERROR(SEARCH("Trauma",C2)))</formula>
    </cfRule>
  </conditionalFormatting>
  <conditionalFormatting sqref="A39:T39">
    <cfRule type="expression" dxfId="24" priority="19">
      <formula>$A39="Trauma"</formula>
    </cfRule>
  </conditionalFormatting>
  <conditionalFormatting sqref="A40:T40">
    <cfRule type="expression" dxfId="23" priority="17">
      <formula>$A$40="CHP Sr."</formula>
    </cfRule>
  </conditionalFormatting>
  <conditionalFormatting sqref="A41:T41">
    <cfRule type="expression" dxfId="22" priority="15">
      <formula>$A$41="CHP Jr."</formula>
    </cfRule>
  </conditionalFormatting>
  <conditionalFormatting sqref="A46:T46">
    <cfRule type="expression" dxfId="21" priority="11">
      <formula>$A$46="Sun"</formula>
    </cfRule>
  </conditionalFormatting>
  <conditionalFormatting sqref="A42:T42">
    <cfRule type="expression" dxfId="20" priority="10">
      <formula>$A$42="SHY"</formula>
    </cfRule>
  </conditionalFormatting>
  <conditionalFormatting sqref="A43:T43">
    <cfRule type="expression" dxfId="19" priority="9">
      <formula>$A$43="CT"</formula>
    </cfRule>
  </conditionalFormatting>
  <conditionalFormatting sqref="A44:T44">
    <cfRule type="expression" dxfId="18" priority="8">
      <formula>$A$44="Fri"</formula>
    </cfRule>
  </conditionalFormatting>
  <conditionalFormatting sqref="A45:T45">
    <cfRule type="expression" dxfId="17" priority="7">
      <formula>$A$45="Sat"</formula>
    </cfRule>
  </conditionalFormatting>
  <conditionalFormatting sqref="W2:AB31">
    <cfRule type="cellIs" dxfId="16" priority="6" operator="equal">
      <formula>"ERROR"</formula>
    </cfRule>
  </conditionalFormatting>
  <conditionalFormatting sqref="Y37:AJ37 A37:V37 W38 AL37:XFD37">
    <cfRule type="cellIs" dxfId="15" priority="4" operator="lessThan">
      <formula>0</formula>
    </cfRule>
    <cfRule type="cellIs" dxfId="14" priority="5" operator="greaterThan">
      <formula>0</formula>
    </cfRule>
  </conditionalFormatting>
  <conditionalFormatting sqref="AI1:AI34">
    <cfRule type="notContainsBlanks" dxfId="13" priority="3">
      <formula>LEN(TRIM(AI1))&gt;0</formula>
    </cfRule>
  </conditionalFormatting>
  <conditionalFormatting sqref="AB1:AB34">
    <cfRule type="notContainsBlanks" dxfId="12" priority="2">
      <formula>LEN(TRIM(AB1))&gt;0</formula>
    </cfRule>
  </conditionalFormatting>
  <conditionalFormatting sqref="C2:T32">
    <cfRule type="cellIs" dxfId="11" priority="1" operator="equal">
      <formula>$AB$1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2017-09-01T13:28:40Z</dcterms:modified>
</cp:coreProperties>
</file>