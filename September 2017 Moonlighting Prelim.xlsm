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jW9qHqKmYndst9BHm3z5+u5sVhA2PzX3cWNb310MPaGEQfI22J2+RzC3DMMwyiu7HQB3Wg4I4OAvXuSy0coBpg==" workbookSaltValue="F+pxHBHUxbhicUsMlU4MHQ==" workbookSpinCount="100000" lockStructure="1"/>
  <bookViews>
    <workbookView xWindow="0" yWindow="0" windowWidth="15617" windowHeight="3634"/>
  </bookViews>
  <sheets>
    <sheet name="August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S48" i="3" l="1"/>
  <c r="S49" i="3"/>
  <c r="V33" i="5" l="1"/>
  <c r="W33" i="5"/>
  <c r="V34" i="5"/>
  <c r="W34" i="5"/>
  <c r="V35" i="5"/>
  <c r="W35" i="5"/>
  <c r="S36" i="3"/>
  <c r="T36" i="3"/>
  <c r="T37" i="3" s="1"/>
  <c r="S35" i="3"/>
  <c r="S35" i="5" s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3"/>
  <c r="L35" i="5" s="1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 s="1"/>
  <c r="N35" i="3"/>
  <c r="N35" i="5" s="1"/>
  <c r="O35" i="3"/>
  <c r="O35" i="5" s="1"/>
  <c r="P35" i="3"/>
  <c r="P35" i="5" s="1"/>
  <c r="Q35" i="3"/>
  <c r="Q35" i="5" s="1"/>
  <c r="R35" i="3"/>
  <c r="R35" i="5" s="1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7" i="3" s="1"/>
  <c r="R45" i="3"/>
  <c r="L46" i="3"/>
  <c r="M46" i="3"/>
  <c r="N46" i="3"/>
  <c r="O46" i="3"/>
  <c r="P46" i="3"/>
  <c r="Q46" i="3"/>
  <c r="R46" i="3"/>
  <c r="X12" i="3"/>
  <c r="W12" i="5" s="1"/>
  <c r="W3" i="3"/>
  <c r="V3" i="5" s="1"/>
  <c r="X3" i="3"/>
  <c r="W3" i="5" s="1"/>
  <c r="Y3" i="3"/>
  <c r="X3" i="5" s="1"/>
  <c r="Z3" i="3"/>
  <c r="Y3" i="5" s="1"/>
  <c r="AA3" i="3"/>
  <c r="Z3" i="5" s="1"/>
  <c r="W4" i="3"/>
  <c r="V4" i="5" s="1"/>
  <c r="X4" i="3"/>
  <c r="W4" i="5" s="1"/>
  <c r="Y4" i="3"/>
  <c r="X4" i="5" s="1"/>
  <c r="Z4" i="3"/>
  <c r="AA4" i="3"/>
  <c r="Z4" i="5" s="1"/>
  <c r="W5" i="3"/>
  <c r="V5" i="5" s="1"/>
  <c r="X5" i="3"/>
  <c r="W5" i="5" s="1"/>
  <c r="Y5" i="3"/>
  <c r="X5" i="5" s="1"/>
  <c r="Z5" i="3"/>
  <c r="Y5" i="5" s="1"/>
  <c r="AA5" i="3"/>
  <c r="Z5" i="5" s="1"/>
  <c r="W6" i="3"/>
  <c r="V6" i="5" s="1"/>
  <c r="X6" i="3"/>
  <c r="W6" i="5" s="1"/>
  <c r="Y6" i="3"/>
  <c r="X6" i="5" s="1"/>
  <c r="Z6" i="3"/>
  <c r="Y6" i="5" s="1"/>
  <c r="AA6" i="3"/>
  <c r="Z6" i="5" s="1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 s="1"/>
  <c r="Y8" i="3"/>
  <c r="X8" i="5" s="1"/>
  <c r="Z8" i="3"/>
  <c r="Y8" i="5" s="1"/>
  <c r="AA8" i="3"/>
  <c r="Z8" i="5" s="1"/>
  <c r="W9" i="3"/>
  <c r="V9" i="5" s="1"/>
  <c r="X9" i="3"/>
  <c r="W9" i="5" s="1"/>
  <c r="Y9" i="3"/>
  <c r="X9" i="5" s="1"/>
  <c r="Z9" i="3"/>
  <c r="Y9" i="5" s="1"/>
  <c r="AA9" i="3"/>
  <c r="Z9" i="5" s="1"/>
  <c r="W10" i="3"/>
  <c r="V10" i="5" s="1"/>
  <c r="X10" i="3"/>
  <c r="W10" i="5" s="1"/>
  <c r="Y10" i="3"/>
  <c r="X10" i="5" s="1"/>
  <c r="Z10" i="3"/>
  <c r="Y10" i="5" s="1"/>
  <c r="AA10" i="3"/>
  <c r="Z10" i="5" s="1"/>
  <c r="W11" i="3"/>
  <c r="V11" i="5" s="1"/>
  <c r="X11" i="3"/>
  <c r="W11" i="5" s="1"/>
  <c r="Y11" i="3"/>
  <c r="X11" i="5" s="1"/>
  <c r="Z11" i="3"/>
  <c r="Y11" i="5" s="1"/>
  <c r="AA11" i="3"/>
  <c r="Z11" i="5" s="1"/>
  <c r="W12" i="3"/>
  <c r="V12" i="5" s="1"/>
  <c r="Y12" i="3"/>
  <c r="X12" i="5" s="1"/>
  <c r="Z12" i="3"/>
  <c r="Y12" i="5" s="1"/>
  <c r="AA12" i="3"/>
  <c r="Z12" i="5" s="1"/>
  <c r="W13" i="3"/>
  <c r="V13" i="5" s="1"/>
  <c r="X13" i="3"/>
  <c r="W13" i="5" s="1"/>
  <c r="Y13" i="3"/>
  <c r="X13" i="5" s="1"/>
  <c r="Z13" i="3"/>
  <c r="Y13" i="5" s="1"/>
  <c r="AA13" i="3"/>
  <c r="Z13" i="5" s="1"/>
  <c r="W14" i="3"/>
  <c r="V14" i="5" s="1"/>
  <c r="X14" i="3"/>
  <c r="W14" i="5" s="1"/>
  <c r="Y14" i="3"/>
  <c r="Z14" i="3"/>
  <c r="Y14" i="5" s="1"/>
  <c r="AA14" i="3"/>
  <c r="Z14" i="5" s="1"/>
  <c r="W15" i="3"/>
  <c r="V15" i="5" s="1"/>
  <c r="X15" i="3"/>
  <c r="W15" i="5" s="1"/>
  <c r="Y15" i="3"/>
  <c r="X15" i="5" s="1"/>
  <c r="Z15" i="3"/>
  <c r="Y15" i="5" s="1"/>
  <c r="AA15" i="3"/>
  <c r="W16" i="3"/>
  <c r="V16" i="5" s="1"/>
  <c r="X16" i="3"/>
  <c r="W16" i="5" s="1"/>
  <c r="Y16" i="3"/>
  <c r="X16" i="5" s="1"/>
  <c r="Z16" i="3"/>
  <c r="Y16" i="5" s="1"/>
  <c r="AA16" i="3"/>
  <c r="Z16" i="5" s="1"/>
  <c r="W17" i="3"/>
  <c r="V17" i="5" s="1"/>
  <c r="X17" i="3"/>
  <c r="W17" i="5" s="1"/>
  <c r="Y17" i="3"/>
  <c r="X17" i="5" s="1"/>
  <c r="Z17" i="3"/>
  <c r="Y17" i="5" s="1"/>
  <c r="AA17" i="3"/>
  <c r="Z17" i="5" s="1"/>
  <c r="W18" i="3"/>
  <c r="V18" i="5" s="1"/>
  <c r="X18" i="3"/>
  <c r="W18" i="5" s="1"/>
  <c r="Y18" i="3"/>
  <c r="X18" i="5" s="1"/>
  <c r="Z18" i="3"/>
  <c r="Y18" i="5" s="1"/>
  <c r="AA18" i="3"/>
  <c r="Z18" i="5" s="1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 s="1"/>
  <c r="X20" i="3"/>
  <c r="W20" i="5" s="1"/>
  <c r="Y20" i="3"/>
  <c r="X20" i="5" s="1"/>
  <c r="Z20" i="3"/>
  <c r="Y20" i="5" s="1"/>
  <c r="AA20" i="3"/>
  <c r="Z20" i="5" s="1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 s="1"/>
  <c r="X23" i="3"/>
  <c r="W23" i="5" s="1"/>
  <c r="Y23" i="3"/>
  <c r="X23" i="5" s="1"/>
  <c r="Z23" i="3"/>
  <c r="Y23" i="5" s="1"/>
  <c r="AA23" i="3"/>
  <c r="Z23" i="5" s="1"/>
  <c r="W24" i="3"/>
  <c r="V24" i="5" s="1"/>
  <c r="X24" i="3"/>
  <c r="W24" i="5" s="1"/>
  <c r="Y24" i="3"/>
  <c r="X24" i="5" s="1"/>
  <c r="Z24" i="3"/>
  <c r="Y24" i="5" s="1"/>
  <c r="AA24" i="3"/>
  <c r="Z24" i="5" s="1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X28" i="5" s="1"/>
  <c r="Z28" i="3"/>
  <c r="Y28" i="5" s="1"/>
  <c r="AA28" i="3"/>
  <c r="Z28" i="5" s="1"/>
  <c r="W29" i="3"/>
  <c r="V29" i="5" s="1"/>
  <c r="X29" i="3"/>
  <c r="W29" i="5" s="1"/>
  <c r="Y29" i="3"/>
  <c r="X29" i="5" s="1"/>
  <c r="Z29" i="3"/>
  <c r="Y29" i="5" s="1"/>
  <c r="AA29" i="3"/>
  <c r="Z29" i="5" s="1"/>
  <c r="W30" i="3"/>
  <c r="V30" i="5" s="1"/>
  <c r="X30" i="3"/>
  <c r="W30" i="5" s="1"/>
  <c r="Y30" i="3"/>
  <c r="X30" i="5" s="1"/>
  <c r="Z30" i="3"/>
  <c r="AA30" i="3"/>
  <c r="Z30" i="5" s="1"/>
  <c r="W31" i="3"/>
  <c r="V31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2" i="3"/>
  <c r="V2" i="5" s="1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E37" i="3" s="1"/>
  <c r="F36" i="3"/>
  <c r="G36" i="3"/>
  <c r="H36" i="3"/>
  <c r="I36" i="3"/>
  <c r="J36" i="3"/>
  <c r="K36" i="3"/>
  <c r="C36" i="3"/>
  <c r="AG34" i="3"/>
  <c r="AF34" i="3"/>
  <c r="AE34" i="3"/>
  <c r="AD34" i="3"/>
  <c r="AC34" i="3"/>
  <c r="B49" i="3"/>
  <c r="L49" i="3" s="1"/>
  <c r="B48" i="3"/>
  <c r="N48" i="3" s="1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C35" i="3"/>
  <c r="C35" i="5" s="1"/>
  <c r="D35" i="3"/>
  <c r="D35" i="5" s="1"/>
  <c r="E35" i="3"/>
  <c r="E35" i="5" s="1"/>
  <c r="F35" i="3"/>
  <c r="F35" i="5" s="1"/>
  <c r="G35" i="3"/>
  <c r="G35" i="5" s="1"/>
  <c r="H35" i="3"/>
  <c r="H37" i="3" s="1"/>
  <c r="I35" i="3"/>
  <c r="I37" i="3" s="1"/>
  <c r="J35" i="3"/>
  <c r="J35" i="5" s="1"/>
  <c r="K35" i="3"/>
  <c r="Y4" i="5"/>
  <c r="X14" i="5"/>
  <c r="Z15" i="5"/>
  <c r="Y30" i="5"/>
  <c r="X32" i="3"/>
  <c r="W32" i="5" s="1"/>
  <c r="Y32" i="3"/>
  <c r="X32" i="5" s="1"/>
  <c r="Z32" i="3"/>
  <c r="Y32" i="5" s="1"/>
  <c r="AA32" i="3"/>
  <c r="Z32" i="5" s="1"/>
  <c r="W32" i="3"/>
  <c r="V32" i="5" s="1"/>
  <c r="S37" i="3"/>
  <c r="X38" i="3"/>
  <c r="L37" i="3"/>
  <c r="H35" i="5" l="1"/>
  <c r="D37" i="3"/>
  <c r="N37" i="3"/>
  <c r="F37" i="3"/>
  <c r="M37" i="3"/>
  <c r="R47" i="3"/>
  <c r="R37" i="3"/>
  <c r="P47" i="3"/>
  <c r="P37" i="3"/>
  <c r="O47" i="3"/>
  <c r="O37" i="3"/>
  <c r="C47" i="3"/>
  <c r="C37" i="3"/>
  <c r="Q37" i="3"/>
  <c r="K37" i="3"/>
  <c r="K49" i="3"/>
  <c r="D49" i="3"/>
  <c r="T47" i="3"/>
  <c r="H47" i="3"/>
  <c r="D47" i="3"/>
  <c r="F47" i="3"/>
  <c r="N47" i="3"/>
  <c r="M47" i="3"/>
  <c r="G47" i="3"/>
  <c r="I47" i="3"/>
  <c r="E47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L47" i="3"/>
  <c r="G37" i="3"/>
  <c r="K47" i="3"/>
  <c r="K35" i="5"/>
  <c r="J47" i="3"/>
  <c r="J37" i="3"/>
  <c r="X36" i="3"/>
  <c r="I35" i="5"/>
  <c r="X37" i="3"/>
</calcChain>
</file>

<file path=xl/sharedStrings.xml><?xml version="1.0" encoding="utf-8"?>
<sst xmlns="http://schemas.openxmlformats.org/spreadsheetml/2006/main" count="284" uniqueCount="58">
  <si>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</si>
  <si>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</si>
  <si>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</si>
  <si>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</si>
  <si>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</si>
  <si>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</si>
  <si>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</si>
  <si>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</si>
  <si>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</si>
  <si>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</si>
  <si>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</si>
  <si>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</si>
  <si>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</si>
  <si>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</si>
  <si>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</si>
  <si>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</si>
  <si>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</si>
  <si>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</si>
  <si>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</si>
  <si>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</si>
  <si>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</si>
  <si>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</si>
  <si>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</si>
  <si>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</si>
  <si>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</si>
  <si>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</si>
  <si>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</si>
  <si>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</si>
  <si>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</si>
  <si>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</si>
  <si>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</si>
  <si>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</si>
  <si>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</si>
  <si>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</si>
  <si>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</si>
  <si>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</si>
  <si>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</si>
  <si>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</si>
  <si>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</si>
  <si>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</si>
  <si>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</si>
  <si>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</si>
  <si>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</si>
  <si>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</si>
  <si>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</si>
  <si>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</si>
  <si>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</si>
  <si>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</si>
  <si>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</si>
  <si>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3-4</t>
  </si>
  <si>
    <t>4</t>
  </si>
  <si>
    <t>First 2 weeks if possible</t>
  </si>
  <si>
    <t>?no trauma</t>
  </si>
  <si>
    <t>6-11 3 calls okay</t>
  </si>
  <si>
    <t>due date 9/11</t>
  </si>
  <si>
    <t>2 early labor day wkend</t>
  </si>
  <si>
    <t>1 at end of month</t>
  </si>
  <si>
    <t>wants ct call on 30th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</si>
</sst>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11" fillId="0" borderId="0" xfId="1002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10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32" sqref="F32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Fri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/>
      </c>
      <c r="F2" s="13" t="str">
        <f>IF(ISBLANK(Master!F2),"",Master!F2)</f>
        <v>x</v>
      </c>
      <c r="G2" s="13" t="str">
        <f>IF(ISBLANK(Master!G2),"",Master!G2)</f>
        <v/>
      </c>
      <c r="H2" s="13" t="str">
        <f>IF(ISBLANK(Master!H2),"",Master!H2)</f>
        <v/>
      </c>
      <c r="I2" s="13" t="str">
        <f>IF(ISBLANK(Master!I2),"",Master!I2)</f>
        <v>x</v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>x</v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>x</v>
      </c>
      <c r="S2" s="13" t="str">
        <f>IF(ISBLANK(Master!S2),"",Master!S2)</f>
        <v/>
      </c>
      <c r="T2" s="13" t="str">
        <f>IF(ISBLANK(Master!T2),"",Master!T2)</f>
        <v/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4">
      <c r="A3" s="13" t="str">
        <f>IF(ISBLANK(Master!A3),"",Master!A3)</f>
        <v>Sat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/>
      </c>
      <c r="F3" s="13" t="str">
        <f>IF(ISBLANK(Master!F3),"",Master!F3)</f>
        <v>x</v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>x</v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x</v>
      </c>
      <c r="S3" s="13" t="str">
        <f>IF(ISBLANK(Master!S3),"",Master!S3)</f>
        <v/>
      </c>
      <c r="T3" s="13" t="str">
        <f>IF(ISBLANK(Master!T3),"",Master!T3)</f>
        <v/>
      </c>
      <c r="V3" s="13" t="str">
        <f>IF(ISBLANK(Master!W3),"",Master!W3)</f>
        <v/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</row>
    <row r="4" spans="1:26" x14ac:dyDescent="0.4">
      <c r="A4" s="13" t="str">
        <f>IF(ISBLANK(Master!A4),"",Master!A4)</f>
        <v>Sun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/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>x</v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>x</v>
      </c>
      <c r="S4" s="13" t="str">
        <f>IF(ISBLANK(Master!S4),"",Master!S4)</f>
        <v/>
      </c>
      <c r="T4" s="13" t="str">
        <f>IF(ISBLANK(Master!T4),"",Master!T4)</f>
        <v/>
      </c>
      <c r="V4" s="13" t="str">
        <f>IF(ISBLANK(Master!W4),"",Master!W4)</f>
        <v/>
      </c>
      <c r="W4" s="13" t="str">
        <f>IF(ISBLANK(Master!X4),"",Master!X4)</f>
        <v/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4">
      <c r="A5" s="13" t="str">
        <f>IF(ISBLANK(Master!A5),"",Master!A5)</f>
        <v>Mon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/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x</v>
      </c>
      <c r="N5" s="13" t="str">
        <f>IF(ISBLANK(Master!N5),"",Master!N5)</f>
        <v>x</v>
      </c>
      <c r="O5" s="13" t="str">
        <f>IF(ISBLANK(Master!O5),"",Master!O5)</f>
        <v>x</v>
      </c>
      <c r="P5" s="13" t="str">
        <f>IF(ISBLANK(Master!P5),"",Master!P5)</f>
        <v/>
      </c>
      <c r="Q5" s="13" t="str">
        <f>IF(ISBLANK(Master!Q5),"",Master!Q5)</f>
        <v/>
      </c>
      <c r="R5" s="13" t="str">
        <f>IF(ISBLANK(Master!R5),"",Master!R5)</f>
        <v>x</v>
      </c>
      <c r="S5" s="13" t="str">
        <f>IF(ISBLANK(Master!S5),"",Master!S5)</f>
        <v/>
      </c>
      <c r="T5" s="13" t="str">
        <f>IF(ISBLANK(Master!T5),"",Master!T5)</f>
        <v/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NEEDS COVERAGE</v>
      </c>
    </row>
    <row r="6" spans="1:26" x14ac:dyDescent="0.4">
      <c r="A6" s="13" t="str">
        <f>IF(ISBLANK(Master!A6),"",Master!A6)</f>
        <v>Tue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x</v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>x</v>
      </c>
      <c r="K6" s="13" t="str">
        <f>IF(ISBLANK(Master!K6),"",Master!K6)</f>
        <v/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/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NEEDS COVERAGE</v>
      </c>
    </row>
    <row r="7" spans="1:26" x14ac:dyDescent="0.4">
      <c r="A7" s="13" t="str">
        <f>IF(ISBLANK(Master!A7),"",Master!A7)</f>
        <v>Wed</v>
      </c>
      <c r="B7" s="13">
        <f>IF(ISBLANK(Master!B7),"",Master!B7)</f>
        <v>6</v>
      </c>
      <c r="C7" s="13" t="str">
        <f>IF(ISBLANK(Master!C7),"",Master!C7)</f>
        <v>x</v>
      </c>
      <c r="D7" s="13" t="str">
        <f>IF(ISBLANK(Master!D7),"",Master!D7)</f>
        <v>x</v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/>
      </c>
      <c r="V7" s="13" t="str">
        <f>IF(ISBLANK(Master!W7),"",Master!W7)</f>
        <v/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4">
      <c r="A8" s="13" t="str">
        <f>IF(ISBLANK(Master!A8),"",Master!A8)</f>
        <v>Thu</v>
      </c>
      <c r="B8" s="13">
        <f>IF(ISBLANK(Master!B8),"",Master!B8)</f>
        <v>7</v>
      </c>
      <c r="C8" s="13" t="str">
        <f>IF(ISBLANK(Master!C8),"",Master!C8)</f>
        <v>x</v>
      </c>
      <c r="D8" s="13" t="str">
        <f>IF(ISBLANK(Master!D8),"",Master!D8)</f>
        <v>x</v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/>
      </c>
      <c r="H8" s="13" t="str">
        <f>IF(ISBLANK(Master!H8),"",Master!H8)</f>
        <v>x</v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/>
      </c>
      <c r="V8" s="13" t="str">
        <f>IF(ISBLANK(Master!W8),"",Master!W8)</f>
        <v/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NEEDS COVERAGE</v>
      </c>
    </row>
    <row r="9" spans="1:26" x14ac:dyDescent="0.4">
      <c r="A9" s="13" t="str">
        <f>IF(ISBLANK(Master!A9),"",Master!A9)</f>
        <v>Fri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x</v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/>
      </c>
      <c r="H9" s="13" t="str">
        <f>IF(ISBLANK(Master!H9),"",Master!H9)</f>
        <v/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>x</v>
      </c>
      <c r="Q9" s="13" t="str">
        <f>IF(ISBLANK(Master!Q9),"",Master!Q9)</f>
        <v>x</v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/>
      </c>
      <c r="V9" s="13" t="str">
        <f>IF(ISBLANK(Master!W9),"",Master!W9)</f>
        <v/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4">
      <c r="A10" s="13" t="str">
        <f>IF(ISBLANK(Master!A10),"",Master!A10)</f>
        <v>Sat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>x</v>
      </c>
      <c r="E10" s="13" t="str">
        <f>IF(ISBLANK(Master!E10),"",Master!E10)</f>
        <v/>
      </c>
      <c r="F10" s="13" t="str">
        <f>IF(ISBLANK(Master!F10),"",Master!F10)</f>
        <v>x</v>
      </c>
      <c r="G10" s="13" t="str">
        <f>IF(ISBLANK(Master!G10),"",Master!G10)</f>
        <v/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>x</v>
      </c>
      <c r="Q10" s="13" t="str">
        <f>IF(ISBLANK(Master!Q10),"",Master!Q10)</f>
        <v>x</v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/>
      </c>
      <c r="V10" s="13" t="str">
        <f>IF(ISBLANK(Master!W10),"",Master!W10)</f>
        <v/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</row>
    <row r="11" spans="1:26" x14ac:dyDescent="0.4">
      <c r="A11" s="13" t="str">
        <f>IF(ISBLANK(Master!A11),"",Master!A11)</f>
        <v>Sun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/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>x</v>
      </c>
      <c r="J11" s="13" t="str">
        <f>IF(ISBLANK(Master!J11),"",Master!J11)</f>
        <v/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/>
      </c>
      <c r="V11" s="13" t="str">
        <f>IF(ISBLANK(Master!W11),"",Master!W11)</f>
        <v/>
      </c>
      <c r="W11" s="13" t="str">
        <f>IF(ISBLANK(Master!X11),"",Master!X11)</f>
        <v/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</row>
    <row r="12" spans="1:26" x14ac:dyDescent="0.4">
      <c r="A12" s="13" t="str">
        <f>IF(ISBLANK(Master!A12),"",Master!A12)</f>
        <v>Mon</v>
      </c>
      <c r="B12" s="13">
        <f>IF(ISBLANK(Master!B12),"",Master!B12)</f>
        <v>11</v>
      </c>
      <c r="C12" s="13" t="str">
        <f>IF(ISBLANK(Master!C12),"",Master!C12)</f>
        <v>x</v>
      </c>
      <c r="D12" s="13" t="str">
        <f>IF(ISBLANK(Master!D12),"",Master!D12)</f>
        <v>x</v>
      </c>
      <c r="E12" s="13" t="str">
        <f>IF(ISBLANK(Master!E12),"",Master!E12)</f>
        <v/>
      </c>
      <c r="F12" s="13" t="str">
        <f>IF(ISBLANK(Master!F12),"",Master!F12)</f>
        <v>x</v>
      </c>
      <c r="G12" s="13" t="str">
        <f>IF(ISBLANK(Master!G12),"",Master!G12)</f>
        <v/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x</v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/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NEEDS COVERAGE</v>
      </c>
    </row>
    <row r="13" spans="1:26" x14ac:dyDescent="0.4">
      <c r="A13" s="13" t="str">
        <f>IF(ISBLANK(Master!A13),"",Master!A13)</f>
        <v>Tue</v>
      </c>
      <c r="B13" s="13">
        <f>IF(ISBLANK(Master!B13),"",Master!B13)</f>
        <v>12</v>
      </c>
      <c r="C13" s="13" t="str">
        <f>IF(ISBLANK(Master!C13),"",Master!C13)</f>
        <v>x</v>
      </c>
      <c r="D13" s="13" t="str">
        <f>IF(ISBLANK(Master!D13),"",Master!D13)</f>
        <v>x</v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/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/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NEEDS COVERAGE</v>
      </c>
    </row>
    <row r="14" spans="1:26" x14ac:dyDescent="0.4">
      <c r="A14" s="13" t="str">
        <f>IF(ISBLANK(Master!A14),"",Master!A14)</f>
        <v>Wed</v>
      </c>
      <c r="B14" s="13">
        <f>IF(ISBLANK(Master!B14),"",Master!B14)</f>
        <v>13</v>
      </c>
      <c r="C14" s="13" t="str">
        <f>IF(ISBLANK(Master!C14),"",Master!C14)</f>
        <v>x</v>
      </c>
      <c r="D14" s="13" t="str">
        <f>IF(ISBLANK(Master!D14),"",Master!D14)</f>
        <v>x</v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/>
      </c>
      <c r="V14" s="13" t="str">
        <f>IF(ISBLANK(Master!W14),"",Master!W14)</f>
        <v/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4">
      <c r="A15" s="13" t="str">
        <f>IF(ISBLANK(Master!A15),"",Master!A15)</f>
        <v>Thu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>x</v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>x</v>
      </c>
      <c r="J15" s="13" t="str">
        <f>IF(ISBLANK(Master!J15),"",Master!J15)</f>
        <v/>
      </c>
      <c r="K15" s="13" t="str">
        <f>IF(ISBLANK(Master!K15),"",Master!K15)</f>
        <v>x</v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/>
      </c>
      <c r="V15" s="13" t="str">
        <f>IF(ISBLANK(Master!W15),"",Master!W15)</f>
        <v/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4">
      <c r="A16" s="13" t="str">
        <f>IF(ISBLANK(Master!A16),"",Master!A16)</f>
        <v>Fri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>x</v>
      </c>
      <c r="E16" s="13" t="str">
        <f>IF(ISBLANK(Master!E16),"",Master!E16)</f>
        <v/>
      </c>
      <c r="F16" s="13" t="str">
        <f>IF(ISBLANK(Master!F16),"",Master!F16)</f>
        <v>x</v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>x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>x</v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>x</v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/>
      </c>
      <c r="V16" s="13" t="str">
        <f>IF(ISBLANK(Master!W16),"",Master!W16)</f>
        <v/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4">
      <c r="A17" s="13" t="str">
        <f>IF(ISBLANK(Master!A17),"",Master!A17)</f>
        <v>Sat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x</v>
      </c>
      <c r="E17" s="13" t="str">
        <f>IF(ISBLANK(Master!E17),"",Master!E17)</f>
        <v/>
      </c>
      <c r="F17" s="13" t="str">
        <f>IF(ISBLANK(Master!F17),"",Master!F17)</f>
        <v>x</v>
      </c>
      <c r="G17" s="13" t="str">
        <f>IF(ISBLANK(Master!G17),"",Master!G17)</f>
        <v/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>x</v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>x</v>
      </c>
      <c r="R17" s="13" t="str">
        <f>IF(ISBLANK(Master!R17),"",Master!R17)</f>
        <v>x</v>
      </c>
      <c r="S17" s="13" t="str">
        <f>IF(ISBLANK(Master!S17),"",Master!S17)</f>
        <v/>
      </c>
      <c r="T17" s="13" t="str">
        <f>IF(ISBLANK(Master!T17),"",Master!T17)</f>
        <v/>
      </c>
      <c r="V17" s="13" t="str">
        <f>IF(ISBLANK(Master!W17),"",Master!W17)</f>
        <v/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4">
      <c r="A18" s="13" t="str">
        <f>IF(ISBLANK(Master!A18),"",Master!A18)</f>
        <v>Sun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x</v>
      </c>
      <c r="E18" s="13" t="str">
        <f>IF(ISBLANK(Master!E18),"",Master!E18)</f>
        <v/>
      </c>
      <c r="F18" s="13" t="str">
        <f>IF(ISBLANK(Master!F18),"",Master!F18)</f>
        <v>x</v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>x</v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>x</v>
      </c>
      <c r="R18" s="13" t="str">
        <f>IF(ISBLANK(Master!R18),"",Master!R18)</f>
        <v>x</v>
      </c>
      <c r="S18" s="13" t="str">
        <f>IF(ISBLANK(Master!S18),"",Master!S18)</f>
        <v/>
      </c>
      <c r="T18" s="13" t="str">
        <f>IF(ISBLANK(Master!T18),"",Master!T18)</f>
        <v/>
      </c>
      <c r="V18" s="13" t="str">
        <f>IF(ISBLANK(Master!W18),"",Master!W18)</f>
        <v/>
      </c>
      <c r="W18" s="13" t="str">
        <f>IF(ISBLANK(Master!X18),"",Master!X18)</f>
        <v/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NEEDS COVERAGE</v>
      </c>
    </row>
    <row r="19" spans="1:26" x14ac:dyDescent="0.4">
      <c r="A19" s="13" t="str">
        <f>IF(ISBLANK(Master!A19),"",Master!A19)</f>
        <v>Mon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/>
      </c>
      <c r="I19" s="13" t="str">
        <f>IF(ISBLANK(Master!I19),"",Master!I19)</f>
        <v>x</v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>x</v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/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NEEDS COVERAGE</v>
      </c>
    </row>
    <row r="20" spans="1:26" x14ac:dyDescent="0.4">
      <c r="A20" s="13" t="str">
        <f>IF(ISBLANK(Master!A20),"",Master!A20)</f>
        <v>Tue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>x</v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>x</v>
      </c>
      <c r="J20" s="13" t="str">
        <f>IF(ISBLANK(Master!J20),"",Master!J20)</f>
        <v/>
      </c>
      <c r="K20" s="13" t="str">
        <f>IF(ISBLANK(Master!K20),"",Master!K20)</f>
        <v/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/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NEEDS COVERAGE</v>
      </c>
    </row>
    <row r="21" spans="1:26" x14ac:dyDescent="0.4">
      <c r="A21" s="13" t="str">
        <f>IF(ISBLANK(Master!A21),"",Master!A21)</f>
        <v>Wed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x</v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/>
      </c>
      <c r="V21" s="13" t="str">
        <f>IF(ISBLANK(Master!W21),"",Master!W21)</f>
        <v/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Thu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>x</v>
      </c>
      <c r="E22" s="13" t="str">
        <f>IF(ISBLANK(Master!E22),"",Master!E22)</f>
        <v/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/>
      </c>
      <c r="I22" s="13" t="str">
        <f>IF(ISBLANK(Master!I22),"",Master!I22)</f>
        <v/>
      </c>
      <c r="J22" s="13" t="str">
        <f>IF(ISBLANK(Master!J22),"",Master!J22)</f>
        <v>x</v>
      </c>
      <c r="K22" s="13" t="str">
        <f>IF(ISBLANK(Master!K22),"",Master!K22)</f>
        <v/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>x</v>
      </c>
      <c r="O22" s="13" t="str">
        <f>IF(ISBLANK(Master!O22),"",Master!O22)</f>
        <v/>
      </c>
      <c r="P22" s="13" t="str">
        <f>IF(ISBLANK(Master!P22),"",Master!P22)</f>
        <v>x</v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/>
      </c>
      <c r="T22" s="13" t="str">
        <f>IF(ISBLANK(Master!T22),"",Master!T22)</f>
        <v/>
      </c>
      <c r="V22" s="13" t="str">
        <f>IF(ISBLANK(Master!W22),"",Master!W22)</f>
        <v/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NEEDS COVERAGE</v>
      </c>
    </row>
    <row r="23" spans="1:26" x14ac:dyDescent="0.4">
      <c r="A23" s="13" t="str">
        <f>IF(ISBLANK(Master!A23),"",Master!A23)</f>
        <v>Fri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>x</v>
      </c>
      <c r="E23" s="13" t="str">
        <f>IF(ISBLANK(Master!E23),"",Master!E23)</f>
        <v/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/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>x</v>
      </c>
      <c r="O23" s="13" t="str">
        <f>IF(ISBLANK(Master!O23),"",Master!O23)</f>
        <v/>
      </c>
      <c r="P23" s="13" t="str">
        <f>IF(ISBLANK(Master!P23),"",Master!P23)</f>
        <v>x</v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/>
      </c>
      <c r="T23" s="13" t="str">
        <f>IF(ISBLANK(Master!T23),"",Master!T23)</f>
        <v/>
      </c>
      <c r="V23" s="13" t="str">
        <f>IF(ISBLANK(Master!W23),"",Master!W23)</f>
        <v/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4">
      <c r="A24" s="13" t="str">
        <f>IF(ISBLANK(Master!A24),"",Master!A24)</f>
        <v>Sat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>x</v>
      </c>
      <c r="M24" s="13" t="str">
        <f>IF(ISBLANK(Master!M24),"",Master!M24)</f>
        <v/>
      </c>
      <c r="N24" s="13" t="str">
        <f>IF(ISBLANK(Master!N24),"",Master!N24)</f>
        <v>x</v>
      </c>
      <c r="O24" s="13" t="str">
        <f>IF(ISBLANK(Master!O24),"",Master!O24)</f>
        <v/>
      </c>
      <c r="P24" s="13" t="str">
        <f>IF(ISBLANK(Master!P24),"",Master!P24)</f>
        <v>x</v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/>
      </c>
      <c r="V24" s="13" t="str">
        <f>IF(ISBLANK(Master!W24),"",Master!W24)</f>
        <v/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</row>
    <row r="25" spans="1:26" x14ac:dyDescent="0.4">
      <c r="A25" s="13" t="str">
        <f>IF(ISBLANK(Master!A25),"",Master!A25)</f>
        <v>Sun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>x</v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/>
      </c>
      <c r="S25" s="13" t="str">
        <f>IF(ISBLANK(Master!S25),"",Master!S25)</f>
        <v/>
      </c>
      <c r="T25" s="13" t="str">
        <f>IF(ISBLANK(Master!T25),"",Master!T25)</f>
        <v/>
      </c>
      <c r="V25" s="13" t="str">
        <f>IF(ISBLANK(Master!W25),"",Master!W25)</f>
        <v/>
      </c>
      <c r="W25" s="13" t="str">
        <f>IF(ISBLANK(Master!X25),"",Master!X25)</f>
        <v/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4">
      <c r="A26" s="13" t="str">
        <f>IF(ISBLANK(Master!A26),"",Master!A26)</f>
        <v>Mon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>x</v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/>
      </c>
      <c r="N26" s="13" t="str">
        <f>IF(ISBLANK(Master!N26),"",Master!N26)</f>
        <v>x</v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/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NEEDS COVERAGE</v>
      </c>
    </row>
    <row r="27" spans="1:26" x14ac:dyDescent="0.4">
      <c r="A27" s="13" t="str">
        <f>IF(ISBLANK(Master!A27),"",Master!A27)</f>
        <v>Tue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>x</v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/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/>
      </c>
      <c r="O27" s="13" t="str">
        <f>IF(ISBLANK(Master!O27),"",Master!O27)</f>
        <v/>
      </c>
      <c r="P27" s="13" t="str">
        <f>IF(ISBLANK(Master!P27),"",Master!P27)</f>
        <v>x</v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/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NEEDS COVERAGE</v>
      </c>
    </row>
    <row r="28" spans="1:26" x14ac:dyDescent="0.4">
      <c r="A28" s="13" t="str">
        <f>IF(ISBLANK(Master!A28),"",Master!A28)</f>
        <v>Wed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>x</v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/>
      </c>
      <c r="V28" s="13" t="str">
        <f>IF(ISBLANK(Master!W28),"",Master!W28)</f>
        <v/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Thu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/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/>
      </c>
      <c r="V29" s="13" t="str">
        <f>IF(ISBLANK(Master!W29),"",Master!W29)</f>
        <v/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4">
      <c r="A30" s="13" t="str">
        <f>IF(ISBLANK(Master!A30),"",Master!A30)</f>
        <v>Fri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>x</v>
      </c>
      <c r="K30" s="13" t="str">
        <f>IF(ISBLANK(Master!K30),"",Master!K30)</f>
        <v/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/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</row>
    <row r="31" spans="1:26" x14ac:dyDescent="0.4">
      <c r="A31" s="13" t="str">
        <f>IF(ISBLANK(Master!A31),"",Master!A31)</f>
        <v>Sat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x</v>
      </c>
      <c r="I31" s="13" t="str">
        <f>IF(ISBLANK(Master!I31),"",Master!I31)</f>
        <v/>
      </c>
      <c r="J31" s="13" t="str">
        <f>IF(ISBLANK(Master!J31),"",Master!J31)</f>
        <v>x</v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/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4">
      <c r="A32" s="13" t="str">
        <f>IF(ISBLANK(Master!A32),"",Master!A32)</f>
        <v/>
      </c>
      <c r="B32" s="13" t="str">
        <f>IF(ISBLANK(Master!B32),"",Master!B32)</f>
        <v/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4</v>
      </c>
      <c r="D34" s="13" t="str">
        <f>IF(ISBLANK(Master!D34),"",Master!D34)</f>
        <v>3</v>
      </c>
      <c r="E34" s="13" t="str">
        <f>IF(ISBLANK(Master!E34),"",Master!E34)</f>
        <v/>
      </c>
      <c r="F34" s="13" t="str">
        <f>IF(ISBLANK(Master!F34),"",Master!F34)</f>
        <v>3</v>
      </c>
      <c r="G34" s="13" t="str">
        <f>IF(ISBLANK(Master!G34),"",Master!G34)</f>
        <v/>
      </c>
      <c r="H34" s="13" t="str">
        <f>IF(ISBLANK(Master!H34),"",Master!H34)</f>
        <v/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3</v>
      </c>
      <c r="Q34" s="13" t="str">
        <f>IF(ISBLANK(Master!Q34),"",Master!Q34)</f>
        <v>5</v>
      </c>
      <c r="R34" s="13" t="str">
        <f>IF(ISBLANK(Master!R34),"",Master!R34)</f>
        <v>4</v>
      </c>
      <c r="S34" s="13" t="str">
        <f>IF(ISBLANK(Master!S34),"",Master!S34)</f>
        <v/>
      </c>
      <c r="T34" s="13" t="str">
        <f>IF(ISBLANK(Master!T34),"",Master!T34)</f>
        <v/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Normal="10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12" sqref="E12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5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1.69140625" style="3" bestFit="1" customWidth="1"/>
    <col min="14" max="14" width="10.53515625" style="3" bestFit="1" customWidth="1"/>
    <col min="15" max="15" width="10.3828125" style="3" bestFit="1" customWidth="1"/>
    <col min="16" max="16" width="10" style="3" customWidth="1"/>
    <col min="17" max="17" width="10" style="3" bestFit="1" customWidth="1"/>
    <col min="18" max="18" width="10.69140625" style="3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15" style="3" bestFit="1" customWidth="1"/>
    <col min="23" max="27" width="16.84375" style="10" bestFit="1" customWidth="1"/>
    <col min="28" max="28" width="36.30468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14" t="s">
        <v>0</v>
      </c>
      <c r="B1" s="23" t="s">
        <v>1</v>
      </c>
      <c r="C1" s="1" t="s">
        <v>13</v>
      </c>
      <c r="D1" s="1" t="s">
        <v>14</v>
      </c>
      <c r="E1" s="2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6" t="s">
        <v>42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4">
      <c r="A2" s="1" t="s">
        <v>5</v>
      </c>
      <c r="B2" s="9">
        <v>1</v>
      </c>
      <c r="C2" s="1"/>
      <c r="D2" s="1"/>
      <c r="E2" s="2"/>
      <c r="F2" s="1" t="s">
        <v>39</v>
      </c>
      <c r="G2" s="1"/>
      <c r="H2" s="1"/>
      <c r="I2" s="1" t="s">
        <v>39</v>
      </c>
      <c r="J2" s="1"/>
      <c r="K2" s="1" t="s">
        <v>39</v>
      </c>
      <c r="L2" s="1" t="s">
        <v>39</v>
      </c>
      <c r="M2" s="1" t="s">
        <v>39</v>
      </c>
      <c r="N2" s="1" t="s">
        <v>39</v>
      </c>
      <c r="O2" s="1"/>
      <c r="P2" s="1" t="s">
        <v>39</v>
      </c>
      <c r="Q2" s="1"/>
      <c r="R2" s="1" t="s">
        <v>39</v>
      </c>
      <c r="S2" s="1"/>
      <c r="T2" s="1"/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/>
      <c r="AE2" s="1"/>
      <c r="AF2" s="1"/>
      <c r="AG2" s="1" t="s">
        <v>39</v>
      </c>
      <c r="AI2" s="18"/>
      <c r="AJ2" s="19"/>
      <c r="AK2" s="20"/>
    </row>
    <row r="3" spans="1:37" x14ac:dyDescent="0.4">
      <c r="A3" s="1" t="s">
        <v>6</v>
      </c>
      <c r="B3" s="9">
        <v>2</v>
      </c>
      <c r="C3" s="1"/>
      <c r="D3" s="1"/>
      <c r="E3" s="2"/>
      <c r="F3" s="1" t="s">
        <v>39</v>
      </c>
      <c r="G3" s="1"/>
      <c r="H3" s="1"/>
      <c r="I3" s="1" t="s">
        <v>39</v>
      </c>
      <c r="J3" s="1"/>
      <c r="K3" s="1" t="s">
        <v>39</v>
      </c>
      <c r="L3" s="1" t="s">
        <v>39</v>
      </c>
      <c r="M3" s="1" t="s">
        <v>39</v>
      </c>
      <c r="N3" s="1" t="s">
        <v>39</v>
      </c>
      <c r="O3" s="1"/>
      <c r="P3" s="1" t="s">
        <v>39</v>
      </c>
      <c r="Q3" s="1"/>
      <c r="R3" s="1" t="s">
        <v>39</v>
      </c>
      <c r="S3" s="1"/>
      <c r="T3" s="1"/>
      <c r="W3" s="1" t="str">
        <f t="shared" si="0"/>
        <v/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/>
      <c r="AC3" s="1"/>
      <c r="AD3" s="1"/>
      <c r="AE3" s="1"/>
      <c r="AF3" s="1"/>
      <c r="AG3" s="1" t="s">
        <v>39</v>
      </c>
      <c r="AI3" s="18"/>
      <c r="AJ3" s="21"/>
      <c r="AK3" s="20"/>
    </row>
    <row r="4" spans="1:37" x14ac:dyDescent="0.4">
      <c r="A4" s="1" t="s">
        <v>7</v>
      </c>
      <c r="B4" s="9">
        <v>3</v>
      </c>
      <c r="C4" s="1"/>
      <c r="D4" s="1"/>
      <c r="E4" s="2"/>
      <c r="F4" s="1" t="s">
        <v>39</v>
      </c>
      <c r="G4" s="1"/>
      <c r="H4" s="1"/>
      <c r="I4" s="1" t="s">
        <v>39</v>
      </c>
      <c r="J4" s="1"/>
      <c r="K4" s="1" t="s">
        <v>39</v>
      </c>
      <c r="L4" s="1" t="s">
        <v>39</v>
      </c>
      <c r="M4" s="1" t="s">
        <v>39</v>
      </c>
      <c r="N4" s="1" t="s">
        <v>39</v>
      </c>
      <c r="O4" s="1"/>
      <c r="P4" s="1" t="s">
        <v>39</v>
      </c>
      <c r="Q4" s="1"/>
      <c r="R4" s="1" t="s">
        <v>39</v>
      </c>
      <c r="S4" s="1"/>
      <c r="T4" s="1"/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/>
      <c r="AC4" s="1"/>
      <c r="AD4" s="1"/>
      <c r="AE4" s="1"/>
      <c r="AF4" s="1"/>
      <c r="AG4" s="1" t="s">
        <v>39</v>
      </c>
      <c r="AI4" s="18"/>
      <c r="AJ4" s="22"/>
      <c r="AK4" s="20"/>
    </row>
    <row r="5" spans="1:37" x14ac:dyDescent="0.4">
      <c r="A5" s="1" t="s">
        <v>8</v>
      </c>
      <c r="B5" s="9">
        <v>4</v>
      </c>
      <c r="C5" s="1"/>
      <c r="D5" s="1"/>
      <c r="E5" s="2"/>
      <c r="F5" s="1"/>
      <c r="G5" s="1"/>
      <c r="H5" s="1"/>
      <c r="I5" s="1" t="s">
        <v>39</v>
      </c>
      <c r="J5" s="1"/>
      <c r="K5" s="1" t="s">
        <v>39</v>
      </c>
      <c r="L5" s="1" t="s">
        <v>39</v>
      </c>
      <c r="M5" s="1" t="s">
        <v>39</v>
      </c>
      <c r="N5" s="1" t="s">
        <v>39</v>
      </c>
      <c r="O5" s="1" t="s">
        <v>39</v>
      </c>
      <c r="P5" s="1"/>
      <c r="Q5" s="1"/>
      <c r="R5" s="1" t="s">
        <v>39</v>
      </c>
      <c r="S5" s="1"/>
      <c r="T5" s="1"/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/>
      <c r="AC5" s="1"/>
      <c r="AD5" s="1"/>
      <c r="AE5" s="1"/>
      <c r="AF5" s="1"/>
      <c r="AG5" s="1" t="s">
        <v>39</v>
      </c>
      <c r="AI5" s="18"/>
      <c r="AJ5" s="22"/>
      <c r="AK5" s="20"/>
    </row>
    <row r="6" spans="1:37" x14ac:dyDescent="0.4">
      <c r="A6" s="1" t="s">
        <v>9</v>
      </c>
      <c r="B6" s="9">
        <v>5</v>
      </c>
      <c r="C6" s="1"/>
      <c r="D6" s="1" t="s">
        <v>39</v>
      </c>
      <c r="E6" s="2"/>
      <c r="F6" s="1"/>
      <c r="G6" s="1"/>
      <c r="H6" s="1"/>
      <c r="I6" s="1" t="s">
        <v>39</v>
      </c>
      <c r="J6" s="1" t="s">
        <v>39</v>
      </c>
      <c r="K6" s="1"/>
      <c r="L6" s="1" t="s">
        <v>39</v>
      </c>
      <c r="M6" s="1"/>
      <c r="N6" s="1"/>
      <c r="O6" s="1"/>
      <c r="P6" s="1"/>
      <c r="Q6" s="1"/>
      <c r="R6" s="1"/>
      <c r="S6" s="1"/>
      <c r="T6" s="1"/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/>
      <c r="AC6" s="1"/>
      <c r="AD6" s="1"/>
      <c r="AE6" s="1"/>
      <c r="AF6" s="1"/>
      <c r="AG6" s="1" t="s">
        <v>39</v>
      </c>
      <c r="AI6" s="18"/>
      <c r="AJ6" s="19"/>
      <c r="AK6" s="20"/>
    </row>
    <row r="7" spans="1:37" x14ac:dyDescent="0.4">
      <c r="A7" s="1" t="s">
        <v>4</v>
      </c>
      <c r="B7" s="9">
        <v>6</v>
      </c>
      <c r="C7" s="1" t="s">
        <v>39</v>
      </c>
      <c r="D7" s="1" t="s">
        <v>39</v>
      </c>
      <c r="E7" s="2"/>
      <c r="F7" s="1"/>
      <c r="G7" s="1"/>
      <c r="H7" s="1"/>
      <c r="I7" s="1"/>
      <c r="J7" s="1"/>
      <c r="K7" s="1" t="s">
        <v>39</v>
      </c>
      <c r="L7" s="1" t="s">
        <v>39</v>
      </c>
      <c r="M7" s="1"/>
      <c r="N7" s="1"/>
      <c r="O7" s="1"/>
      <c r="P7" s="1"/>
      <c r="Q7" s="1"/>
      <c r="R7" s="1"/>
      <c r="S7" s="1"/>
      <c r="T7" s="1"/>
      <c r="W7" s="1" t="str">
        <f t="shared" si="0"/>
        <v/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/>
      <c r="AC7" s="1"/>
      <c r="AD7" s="1"/>
      <c r="AE7" s="1"/>
      <c r="AF7" s="1"/>
      <c r="AG7" s="1" t="s">
        <v>39</v>
      </c>
      <c r="AI7" s="18"/>
      <c r="AJ7" s="21"/>
      <c r="AK7" s="20"/>
    </row>
    <row r="8" spans="1:37" x14ac:dyDescent="0.4">
      <c r="A8" s="1" t="s">
        <v>10</v>
      </c>
      <c r="B8" s="9">
        <v>7</v>
      </c>
      <c r="C8" s="1" t="s">
        <v>39</v>
      </c>
      <c r="D8" s="1" t="s">
        <v>39</v>
      </c>
      <c r="E8" s="2"/>
      <c r="F8" s="1"/>
      <c r="G8" s="1"/>
      <c r="H8" s="1" t="s">
        <v>39</v>
      </c>
      <c r="I8" s="1"/>
      <c r="J8" s="1"/>
      <c r="K8" s="1" t="s">
        <v>39</v>
      </c>
      <c r="L8" s="1" t="s">
        <v>39</v>
      </c>
      <c r="M8" s="1"/>
      <c r="N8" s="1" t="s">
        <v>39</v>
      </c>
      <c r="O8" s="1"/>
      <c r="P8" s="1"/>
      <c r="Q8" s="1"/>
      <c r="R8" s="1"/>
      <c r="S8" s="1"/>
      <c r="T8" s="1"/>
      <c r="W8" s="1" t="str">
        <f t="shared" si="0"/>
        <v/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/>
      <c r="AC8" s="1"/>
      <c r="AD8" s="1"/>
      <c r="AE8" s="1"/>
      <c r="AF8" s="1"/>
      <c r="AG8" s="1" t="s">
        <v>39</v>
      </c>
      <c r="AI8" s="18"/>
      <c r="AJ8" s="22"/>
      <c r="AK8" s="20"/>
    </row>
    <row r="9" spans="1:37" x14ac:dyDescent="0.4">
      <c r="A9" s="1" t="s">
        <v>5</v>
      </c>
      <c r="B9" s="9">
        <v>8</v>
      </c>
      <c r="C9" s="1" t="s">
        <v>39</v>
      </c>
      <c r="D9" s="1" t="s">
        <v>39</v>
      </c>
      <c r="E9" s="2"/>
      <c r="F9" s="1" t="s">
        <v>39</v>
      </c>
      <c r="G9" s="1"/>
      <c r="H9" s="1"/>
      <c r="I9" s="1"/>
      <c r="J9" s="1"/>
      <c r="K9" s="1" t="s">
        <v>39</v>
      </c>
      <c r="L9" s="1" t="s">
        <v>39</v>
      </c>
      <c r="M9" s="1"/>
      <c r="N9" s="1"/>
      <c r="O9" s="1"/>
      <c r="P9" s="1" t="s">
        <v>39</v>
      </c>
      <c r="Q9" s="1" t="s">
        <v>39</v>
      </c>
      <c r="R9" s="1"/>
      <c r="S9" s="1"/>
      <c r="T9" s="1"/>
      <c r="W9" s="1" t="str">
        <f t="shared" si="0"/>
        <v/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/>
      <c r="AD9" s="1"/>
      <c r="AE9" s="1"/>
      <c r="AF9" s="1"/>
      <c r="AG9" s="1" t="s">
        <v>39</v>
      </c>
      <c r="AI9" s="18"/>
      <c r="AJ9" s="22"/>
      <c r="AK9" s="20"/>
    </row>
    <row r="10" spans="1:37" x14ac:dyDescent="0.4">
      <c r="A10" s="1" t="s">
        <v>6</v>
      </c>
      <c r="B10" s="9">
        <v>9</v>
      </c>
      <c r="C10" s="1" t="s">
        <v>39</v>
      </c>
      <c r="D10" s="1" t="s">
        <v>39</v>
      </c>
      <c r="E10" s="2"/>
      <c r="F10" s="1" t="s">
        <v>39</v>
      </c>
      <c r="G10" s="1"/>
      <c r="H10" s="1"/>
      <c r="I10" s="1"/>
      <c r="J10" s="1"/>
      <c r="K10" s="1" t="s">
        <v>39</v>
      </c>
      <c r="L10" s="1" t="s">
        <v>39</v>
      </c>
      <c r="M10" s="1"/>
      <c r="N10" s="1"/>
      <c r="O10" s="1"/>
      <c r="P10" s="1" t="s">
        <v>39</v>
      </c>
      <c r="Q10" s="1" t="s">
        <v>39</v>
      </c>
      <c r="R10" s="1"/>
      <c r="S10" s="1"/>
      <c r="T10" s="1"/>
      <c r="W10" s="1" t="str">
        <f t="shared" si="0"/>
        <v/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/>
      <c r="AC10" s="1"/>
      <c r="AD10" s="1"/>
      <c r="AE10" s="1"/>
      <c r="AF10" s="1"/>
      <c r="AG10" s="1" t="s">
        <v>39</v>
      </c>
      <c r="AI10" s="18"/>
      <c r="AJ10" s="22"/>
      <c r="AK10" s="20"/>
    </row>
    <row r="11" spans="1:37" x14ac:dyDescent="0.4">
      <c r="A11" s="1" t="s">
        <v>7</v>
      </c>
      <c r="B11" s="9">
        <v>10</v>
      </c>
      <c r="C11" s="1" t="s">
        <v>39</v>
      </c>
      <c r="D11" s="1" t="s">
        <v>39</v>
      </c>
      <c r="E11" s="2"/>
      <c r="F11" s="1" t="s">
        <v>39</v>
      </c>
      <c r="G11" s="1"/>
      <c r="H11" s="1"/>
      <c r="I11" s="1" t="s">
        <v>39</v>
      </c>
      <c r="J11" s="1"/>
      <c r="K11" s="1" t="s">
        <v>39</v>
      </c>
      <c r="L11" s="1" t="s">
        <v>39</v>
      </c>
      <c r="M11" s="1"/>
      <c r="N11" s="1"/>
      <c r="O11" s="1"/>
      <c r="P11" s="1" t="s">
        <v>39</v>
      </c>
      <c r="Q11" s="1" t="s">
        <v>39</v>
      </c>
      <c r="R11" s="1"/>
      <c r="S11" s="1"/>
      <c r="T11" s="1"/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/>
      <c r="AC11" s="1"/>
      <c r="AD11" s="1"/>
      <c r="AE11" s="1"/>
      <c r="AF11" s="1"/>
      <c r="AG11" s="1" t="s">
        <v>39</v>
      </c>
      <c r="AI11" s="18"/>
      <c r="AJ11" s="21"/>
      <c r="AK11" s="20"/>
    </row>
    <row r="12" spans="1:37" s="5" customFormat="1" x14ac:dyDescent="0.4">
      <c r="A12" s="2" t="s">
        <v>8</v>
      </c>
      <c r="B12" s="27">
        <v>11</v>
      </c>
      <c r="C12" s="2" t="s">
        <v>39</v>
      </c>
      <c r="D12" s="2" t="s">
        <v>39</v>
      </c>
      <c r="E12" s="2"/>
      <c r="F12" s="2" t="s">
        <v>39</v>
      </c>
      <c r="G12" s="2"/>
      <c r="H12" s="2"/>
      <c r="I12" s="2"/>
      <c r="J12" s="2"/>
      <c r="K12" s="2"/>
      <c r="L12" s="2" t="s">
        <v>39</v>
      </c>
      <c r="M12" s="2"/>
      <c r="N12" s="2" t="s">
        <v>39</v>
      </c>
      <c r="O12" s="2" t="s">
        <v>39</v>
      </c>
      <c r="P12" s="2"/>
      <c r="Q12" s="2"/>
      <c r="R12" s="2"/>
      <c r="S12" s="2"/>
      <c r="T12" s="2"/>
      <c r="W12" s="2" t="str">
        <f t="shared" si="0"/>
        <v/>
      </c>
      <c r="X12" s="2" t="str">
        <f t="shared" si="1"/>
        <v/>
      </c>
      <c r="Y12" s="2" t="str">
        <f t="shared" si="2"/>
        <v/>
      </c>
      <c r="Z12" s="2" t="str">
        <f t="shared" si="3"/>
        <v/>
      </c>
      <c r="AA12" s="2" t="str">
        <f t="shared" si="4"/>
        <v>NEEDS COVERAGE</v>
      </c>
      <c r="AB12" s="2"/>
      <c r="AC12" s="2"/>
      <c r="AD12" s="2"/>
      <c r="AE12" s="2"/>
      <c r="AF12" s="2"/>
      <c r="AG12" s="2" t="s">
        <v>39</v>
      </c>
      <c r="AI12" s="33"/>
      <c r="AJ12" s="35"/>
      <c r="AK12" s="34"/>
    </row>
    <row r="13" spans="1:37" x14ac:dyDescent="0.4">
      <c r="A13" s="1" t="s">
        <v>9</v>
      </c>
      <c r="B13" s="9">
        <v>12</v>
      </c>
      <c r="C13" s="1" t="s">
        <v>39</v>
      </c>
      <c r="D13" s="1" t="s">
        <v>39</v>
      </c>
      <c r="E13" s="2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/>
      <c r="AC13" s="1"/>
      <c r="AD13" s="1"/>
      <c r="AE13" s="1"/>
      <c r="AF13" s="1"/>
      <c r="AG13" s="1" t="s">
        <v>39</v>
      </c>
      <c r="AI13" s="18"/>
      <c r="AJ13" s="22"/>
      <c r="AK13" s="20"/>
    </row>
    <row r="14" spans="1:37" x14ac:dyDescent="0.4">
      <c r="A14" s="1" t="s">
        <v>4</v>
      </c>
      <c r="B14" s="9">
        <v>13</v>
      </c>
      <c r="C14" s="1" t="s">
        <v>39</v>
      </c>
      <c r="D14" s="1" t="s">
        <v>39</v>
      </c>
      <c r="E14" s="2"/>
      <c r="F14" s="1"/>
      <c r="G14" s="1"/>
      <c r="H14" s="1"/>
      <c r="I14" s="1"/>
      <c r="J14" s="1"/>
      <c r="K14" s="1" t="s">
        <v>39</v>
      </c>
      <c r="L14" s="1"/>
      <c r="M14" s="1"/>
      <c r="N14" s="1"/>
      <c r="O14" s="1"/>
      <c r="P14" s="1"/>
      <c r="Q14" s="1"/>
      <c r="R14" s="1"/>
      <c r="S14" s="1"/>
      <c r="T14" s="1"/>
      <c r="W14" s="1" t="str">
        <f t="shared" si="0"/>
        <v/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/>
      <c r="AC14" s="1"/>
      <c r="AD14" s="1"/>
      <c r="AE14" s="1"/>
      <c r="AF14" s="1"/>
      <c r="AG14" s="1" t="s">
        <v>39</v>
      </c>
      <c r="AI14" s="22"/>
      <c r="AJ14" s="19"/>
      <c r="AK14" s="20"/>
    </row>
    <row r="15" spans="1:37" x14ac:dyDescent="0.4">
      <c r="A15" s="1" t="s">
        <v>10</v>
      </c>
      <c r="B15" s="9">
        <v>14</v>
      </c>
      <c r="C15" s="1"/>
      <c r="D15" s="1" t="s">
        <v>39</v>
      </c>
      <c r="E15" s="2"/>
      <c r="F15" s="1"/>
      <c r="G15" s="1"/>
      <c r="H15" s="1"/>
      <c r="I15" s="1" t="s">
        <v>39</v>
      </c>
      <c r="J15" s="1"/>
      <c r="K15" s="1" t="s">
        <v>39</v>
      </c>
      <c r="L15" s="1"/>
      <c r="M15" s="1"/>
      <c r="N15" s="1" t="s">
        <v>39</v>
      </c>
      <c r="O15" s="1"/>
      <c r="P15" s="1"/>
      <c r="Q15" s="1"/>
      <c r="R15" s="1"/>
      <c r="S15" s="1"/>
      <c r="T15" s="1"/>
      <c r="W15" s="1" t="str">
        <f t="shared" si="0"/>
        <v/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/>
      <c r="AC15" s="1"/>
      <c r="AD15" s="1"/>
      <c r="AE15" s="1"/>
      <c r="AF15" s="1"/>
      <c r="AG15" s="1" t="s">
        <v>39</v>
      </c>
      <c r="AI15" s="18"/>
      <c r="AJ15" s="22"/>
      <c r="AK15" s="20"/>
    </row>
    <row r="16" spans="1:37" x14ac:dyDescent="0.4">
      <c r="A16" s="1" t="s">
        <v>5</v>
      </c>
      <c r="B16" s="9">
        <v>15</v>
      </c>
      <c r="C16" s="1"/>
      <c r="D16" s="1" t="s">
        <v>39</v>
      </c>
      <c r="E16" s="2"/>
      <c r="F16" s="1" t="s">
        <v>39</v>
      </c>
      <c r="G16" s="1"/>
      <c r="H16" s="1"/>
      <c r="I16" s="1" t="s">
        <v>39</v>
      </c>
      <c r="J16" s="1"/>
      <c r="K16" s="1" t="s">
        <v>39</v>
      </c>
      <c r="L16" s="1" t="s">
        <v>39</v>
      </c>
      <c r="M16" s="1"/>
      <c r="N16" s="1"/>
      <c r="O16" s="1"/>
      <c r="P16" s="1"/>
      <c r="Q16" s="1" t="s">
        <v>39</v>
      </c>
      <c r="R16" s="1"/>
      <c r="S16" s="1"/>
      <c r="T16" s="1"/>
      <c r="V16" s="25"/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/>
      <c r="AC16" s="1"/>
      <c r="AD16" s="1"/>
      <c r="AE16" s="1"/>
      <c r="AF16" s="1"/>
      <c r="AG16" s="1" t="s">
        <v>39</v>
      </c>
      <c r="AI16" s="18"/>
      <c r="AJ16" s="21"/>
      <c r="AK16" s="20"/>
    </row>
    <row r="17" spans="1:37" x14ac:dyDescent="0.4">
      <c r="A17" s="1" t="s">
        <v>6</v>
      </c>
      <c r="B17" s="9">
        <v>16</v>
      </c>
      <c r="C17" s="1"/>
      <c r="D17" s="1" t="s">
        <v>39</v>
      </c>
      <c r="E17" s="2"/>
      <c r="F17" s="1" t="s">
        <v>39</v>
      </c>
      <c r="G17" s="1"/>
      <c r="H17" s="1"/>
      <c r="I17" s="1" t="s">
        <v>39</v>
      </c>
      <c r="J17" s="1"/>
      <c r="K17" s="1" t="s">
        <v>39</v>
      </c>
      <c r="L17" s="1" t="s">
        <v>39</v>
      </c>
      <c r="M17" s="1"/>
      <c r="N17" s="1"/>
      <c r="O17" s="1"/>
      <c r="P17" s="1"/>
      <c r="Q17" s="1" t="s">
        <v>39</v>
      </c>
      <c r="R17" s="1" t="s">
        <v>39</v>
      </c>
      <c r="S17" s="1"/>
      <c r="T17" s="1"/>
      <c r="W17" s="1" t="str">
        <f t="shared" si="0"/>
        <v/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/>
      <c r="AC17" s="1"/>
      <c r="AD17" s="1"/>
      <c r="AE17" s="1"/>
      <c r="AF17" s="1"/>
      <c r="AG17" s="1" t="s">
        <v>39</v>
      </c>
      <c r="AI17" s="18"/>
      <c r="AJ17" s="19"/>
      <c r="AK17" s="20"/>
    </row>
    <row r="18" spans="1:37" x14ac:dyDescent="0.4">
      <c r="A18" s="1" t="s">
        <v>7</v>
      </c>
      <c r="B18" s="9">
        <v>17</v>
      </c>
      <c r="C18" s="1"/>
      <c r="D18" s="1" t="s">
        <v>39</v>
      </c>
      <c r="E18" s="2"/>
      <c r="F18" s="1" t="s">
        <v>39</v>
      </c>
      <c r="G18" s="1"/>
      <c r="H18" s="1"/>
      <c r="I18" s="1" t="s">
        <v>39</v>
      </c>
      <c r="J18" s="1"/>
      <c r="K18" s="1" t="s">
        <v>39</v>
      </c>
      <c r="L18" s="1"/>
      <c r="M18" s="1"/>
      <c r="N18" s="1"/>
      <c r="O18" s="1"/>
      <c r="P18" s="1"/>
      <c r="Q18" s="1" t="s">
        <v>39</v>
      </c>
      <c r="R18" s="1" t="s">
        <v>39</v>
      </c>
      <c r="S18" s="1"/>
      <c r="T18" s="1"/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/>
      <c r="AC18" s="1"/>
      <c r="AD18" s="1"/>
      <c r="AE18" s="1"/>
      <c r="AF18" s="1"/>
      <c r="AG18" s="1" t="s">
        <v>39</v>
      </c>
      <c r="AI18" s="18"/>
      <c r="AJ18" s="22"/>
      <c r="AK18" s="20"/>
    </row>
    <row r="19" spans="1:37" x14ac:dyDescent="0.4">
      <c r="A19" s="1" t="s">
        <v>8</v>
      </c>
      <c r="B19" s="9">
        <v>18</v>
      </c>
      <c r="C19" s="1"/>
      <c r="D19" s="1" t="s">
        <v>39</v>
      </c>
      <c r="E19" s="2"/>
      <c r="F19" s="1"/>
      <c r="G19" s="1"/>
      <c r="H19" s="1"/>
      <c r="I19" s="1" t="s">
        <v>39</v>
      </c>
      <c r="J19" s="1"/>
      <c r="K19" s="1"/>
      <c r="L19" s="1"/>
      <c r="M19" s="1"/>
      <c r="N19" s="1" t="s">
        <v>39</v>
      </c>
      <c r="O19" s="1" t="s">
        <v>39</v>
      </c>
      <c r="P19" s="1"/>
      <c r="Q19" s="1"/>
      <c r="R19" s="1"/>
      <c r="S19" s="1"/>
      <c r="T19" s="1"/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/>
      <c r="AC19" s="1"/>
      <c r="AD19" s="1"/>
      <c r="AE19" s="1"/>
      <c r="AF19" s="1"/>
      <c r="AG19" s="1" t="s">
        <v>39</v>
      </c>
      <c r="AI19" s="18"/>
      <c r="AJ19" s="19"/>
      <c r="AK19" s="20"/>
    </row>
    <row r="20" spans="1:37" x14ac:dyDescent="0.4">
      <c r="A20" s="1" t="s">
        <v>9</v>
      </c>
      <c r="B20" s="9">
        <v>19</v>
      </c>
      <c r="C20" s="1"/>
      <c r="D20" s="1" t="s">
        <v>39</v>
      </c>
      <c r="E20" s="2"/>
      <c r="F20" s="1"/>
      <c r="G20" s="1"/>
      <c r="H20" s="1"/>
      <c r="I20" s="1" t="s">
        <v>39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/>
      <c r="AC20" s="1"/>
      <c r="AD20" s="1"/>
      <c r="AE20" s="1"/>
      <c r="AF20" s="1"/>
      <c r="AG20" s="1" t="s">
        <v>39</v>
      </c>
      <c r="AI20" s="18"/>
      <c r="AJ20" s="19"/>
      <c r="AK20" s="20"/>
    </row>
    <row r="21" spans="1:37" x14ac:dyDescent="0.4">
      <c r="A21" s="1" t="s">
        <v>4</v>
      </c>
      <c r="B21" s="9">
        <v>20</v>
      </c>
      <c r="C21" s="1"/>
      <c r="D21" s="1" t="s">
        <v>39</v>
      </c>
      <c r="E21" s="2"/>
      <c r="F21" s="1"/>
      <c r="G21" s="1"/>
      <c r="H21" s="1"/>
      <c r="I21" s="1"/>
      <c r="J21" s="1" t="s">
        <v>39</v>
      </c>
      <c r="K21" s="1" t="s">
        <v>39</v>
      </c>
      <c r="L21" s="1"/>
      <c r="M21" s="1"/>
      <c r="N21" s="1"/>
      <c r="O21" s="1"/>
      <c r="P21" s="1"/>
      <c r="Q21" s="1"/>
      <c r="R21" s="1"/>
      <c r="S21" s="1"/>
      <c r="T21" s="1"/>
      <c r="W21" s="1" t="str">
        <f t="shared" si="0"/>
        <v/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/>
      <c r="AC21" s="1"/>
      <c r="AD21" s="1"/>
      <c r="AE21" s="1"/>
      <c r="AF21" s="1"/>
      <c r="AG21" s="1" t="s">
        <v>39</v>
      </c>
      <c r="AI21" s="22"/>
      <c r="AJ21" s="28"/>
      <c r="AK21" s="20"/>
    </row>
    <row r="22" spans="1:37" x14ac:dyDescent="0.4">
      <c r="A22" s="1" t="s">
        <v>10</v>
      </c>
      <c r="B22" s="9">
        <v>21</v>
      </c>
      <c r="C22" s="1"/>
      <c r="D22" s="1" t="s">
        <v>39</v>
      </c>
      <c r="E22" s="2"/>
      <c r="F22" s="1"/>
      <c r="G22" s="1"/>
      <c r="H22" s="1"/>
      <c r="I22" s="1"/>
      <c r="J22" s="1" t="s">
        <v>39</v>
      </c>
      <c r="K22" s="1"/>
      <c r="L22" s="1"/>
      <c r="M22" s="1"/>
      <c r="N22" s="1" t="s">
        <v>39</v>
      </c>
      <c r="O22" s="1"/>
      <c r="P22" s="1" t="s">
        <v>39</v>
      </c>
      <c r="Q22" s="1"/>
      <c r="R22" s="1"/>
      <c r="S22" s="1"/>
      <c r="T22" s="1"/>
      <c r="W22" s="1" t="str">
        <f t="shared" si="0"/>
        <v/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/>
      <c r="AC22" s="1"/>
      <c r="AD22" s="1"/>
      <c r="AE22" s="1"/>
      <c r="AF22" s="1"/>
      <c r="AG22" s="1" t="s">
        <v>39</v>
      </c>
      <c r="AI22" s="18"/>
      <c r="AJ22" s="28"/>
      <c r="AK22" s="20"/>
    </row>
    <row r="23" spans="1:37" x14ac:dyDescent="0.4">
      <c r="A23" s="1" t="s">
        <v>5</v>
      </c>
      <c r="B23" s="9">
        <v>22</v>
      </c>
      <c r="C23" s="1"/>
      <c r="D23" s="1" t="s">
        <v>39</v>
      </c>
      <c r="E23" s="2"/>
      <c r="F23" s="1"/>
      <c r="G23" s="1"/>
      <c r="H23" s="1"/>
      <c r="I23" s="1"/>
      <c r="J23" s="1" t="s">
        <v>39</v>
      </c>
      <c r="K23" s="1"/>
      <c r="L23" s="1" t="s">
        <v>39</v>
      </c>
      <c r="M23" s="1"/>
      <c r="N23" s="1" t="s">
        <v>39</v>
      </c>
      <c r="O23" s="1"/>
      <c r="P23" s="1" t="s">
        <v>39</v>
      </c>
      <c r="Q23" s="1" t="s">
        <v>39</v>
      </c>
      <c r="R23" s="1"/>
      <c r="S23" s="1"/>
      <c r="T23" s="1"/>
      <c r="W23" s="1" t="str">
        <f t="shared" si="0"/>
        <v/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/>
      <c r="AD23" s="1"/>
      <c r="AE23" s="1"/>
      <c r="AF23" s="1"/>
      <c r="AG23" s="1" t="s">
        <v>39</v>
      </c>
      <c r="AI23" s="18"/>
      <c r="AJ23" s="28"/>
      <c r="AK23" s="20"/>
    </row>
    <row r="24" spans="1:37" x14ac:dyDescent="0.4">
      <c r="A24" s="1" t="s">
        <v>6</v>
      </c>
      <c r="B24" s="9">
        <v>23</v>
      </c>
      <c r="C24" s="1"/>
      <c r="D24" s="1" t="s">
        <v>39</v>
      </c>
      <c r="E24" s="2"/>
      <c r="F24" s="1"/>
      <c r="G24" s="1"/>
      <c r="H24" s="1"/>
      <c r="I24" s="1"/>
      <c r="J24" s="1" t="s">
        <v>39</v>
      </c>
      <c r="K24" s="1" t="s">
        <v>39</v>
      </c>
      <c r="L24" s="1" t="s">
        <v>39</v>
      </c>
      <c r="M24" s="1"/>
      <c r="N24" s="1" t="s">
        <v>39</v>
      </c>
      <c r="O24" s="1"/>
      <c r="P24" s="1" t="s">
        <v>39</v>
      </c>
      <c r="Q24" s="1" t="s">
        <v>39</v>
      </c>
      <c r="R24" s="1"/>
      <c r="S24" s="1"/>
      <c r="T24" s="1"/>
      <c r="W24" s="1" t="str">
        <f t="shared" si="0"/>
        <v/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/>
      <c r="AC24" s="1"/>
      <c r="AD24" s="1"/>
      <c r="AE24" s="1"/>
      <c r="AF24" s="1"/>
      <c r="AG24" s="1" t="s">
        <v>39</v>
      </c>
      <c r="AI24" s="18"/>
      <c r="AJ24" s="28"/>
      <c r="AK24" s="20"/>
    </row>
    <row r="25" spans="1:37" x14ac:dyDescent="0.4">
      <c r="A25" s="1" t="s">
        <v>7</v>
      </c>
      <c r="B25" s="9">
        <v>24</v>
      </c>
      <c r="C25" s="1"/>
      <c r="D25" s="1" t="s">
        <v>39</v>
      </c>
      <c r="E25" s="2"/>
      <c r="F25" s="1"/>
      <c r="G25" s="1"/>
      <c r="H25" s="1"/>
      <c r="I25" s="1"/>
      <c r="J25" s="1"/>
      <c r="K25" s="1" t="s">
        <v>39</v>
      </c>
      <c r="L25" s="1"/>
      <c r="M25" s="1"/>
      <c r="N25" s="1" t="s">
        <v>39</v>
      </c>
      <c r="O25" s="1"/>
      <c r="P25" s="1" t="s">
        <v>39</v>
      </c>
      <c r="Q25" s="1" t="s">
        <v>39</v>
      </c>
      <c r="R25" s="1"/>
      <c r="S25" s="1"/>
      <c r="T25" s="1"/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/>
      <c r="AC25" s="1"/>
      <c r="AD25" s="1"/>
      <c r="AE25" s="1"/>
      <c r="AF25" s="1"/>
      <c r="AG25" s="1" t="s">
        <v>39</v>
      </c>
      <c r="AI25" s="18"/>
      <c r="AJ25" s="28"/>
      <c r="AK25" s="20"/>
    </row>
    <row r="26" spans="1:37" x14ac:dyDescent="0.4">
      <c r="A26" s="1" t="s">
        <v>8</v>
      </c>
      <c r="B26" s="9">
        <v>25</v>
      </c>
      <c r="C26" s="1"/>
      <c r="D26" s="1" t="s">
        <v>39</v>
      </c>
      <c r="E26" s="2"/>
      <c r="F26" s="1"/>
      <c r="G26" s="1"/>
      <c r="H26" s="1"/>
      <c r="I26" s="1"/>
      <c r="J26" s="1"/>
      <c r="K26" s="1"/>
      <c r="L26" s="1"/>
      <c r="M26" s="1"/>
      <c r="N26" s="1" t="s">
        <v>39</v>
      </c>
      <c r="O26" s="1" t="s">
        <v>39</v>
      </c>
      <c r="P26" s="1" t="s">
        <v>39</v>
      </c>
      <c r="Q26" s="1"/>
      <c r="R26" s="1"/>
      <c r="S26" s="1"/>
      <c r="T26" s="1"/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/>
      <c r="AC26" s="1"/>
      <c r="AD26" s="1"/>
      <c r="AE26" s="1"/>
      <c r="AF26" s="1"/>
      <c r="AG26" s="1" t="s">
        <v>39</v>
      </c>
      <c r="AI26" s="18"/>
      <c r="AJ26" s="28"/>
      <c r="AK26" s="20"/>
    </row>
    <row r="27" spans="1:37" x14ac:dyDescent="0.4">
      <c r="A27" s="1" t="s">
        <v>9</v>
      </c>
      <c r="B27" s="9">
        <v>26</v>
      </c>
      <c r="C27" s="1"/>
      <c r="D27" s="1" t="s">
        <v>39</v>
      </c>
      <c r="E27" s="2"/>
      <c r="F27" s="1"/>
      <c r="G27" s="1"/>
      <c r="H27" s="1"/>
      <c r="I27" s="1"/>
      <c r="J27" s="1"/>
      <c r="K27" s="1"/>
      <c r="L27" s="1"/>
      <c r="M27" s="1"/>
      <c r="N27" s="1"/>
      <c r="O27" s="1"/>
      <c r="P27" s="1" t="s">
        <v>39</v>
      </c>
      <c r="Q27" s="1"/>
      <c r="R27" s="1"/>
      <c r="S27" s="1"/>
      <c r="T27" s="1"/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/>
      <c r="AC27" s="1"/>
      <c r="AD27" s="1"/>
      <c r="AE27" s="1"/>
      <c r="AF27" s="1"/>
      <c r="AG27" s="1" t="s">
        <v>39</v>
      </c>
      <c r="AI27" s="18"/>
      <c r="AJ27" s="28"/>
      <c r="AK27" s="20"/>
    </row>
    <row r="28" spans="1:37" x14ac:dyDescent="0.4">
      <c r="A28" s="1" t="s">
        <v>4</v>
      </c>
      <c r="B28" s="9">
        <v>27</v>
      </c>
      <c r="C28" s="1"/>
      <c r="D28" s="1" t="s">
        <v>39</v>
      </c>
      <c r="E28" s="2"/>
      <c r="F28" s="1"/>
      <c r="G28" s="1"/>
      <c r="H28" s="1" t="s">
        <v>39</v>
      </c>
      <c r="I28" s="1"/>
      <c r="J28" s="1"/>
      <c r="K28" s="1" t="s">
        <v>39</v>
      </c>
      <c r="L28" s="1"/>
      <c r="M28" s="1"/>
      <c r="N28" s="1"/>
      <c r="O28" s="1"/>
      <c r="P28" s="1" t="s">
        <v>39</v>
      </c>
      <c r="Q28" s="1"/>
      <c r="R28" s="1"/>
      <c r="S28" s="1"/>
      <c r="T28" s="1"/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/>
      <c r="AE28" s="1"/>
      <c r="AF28" s="1"/>
      <c r="AG28" s="1" t="s">
        <v>39</v>
      </c>
      <c r="AI28" s="18"/>
      <c r="AJ28" s="28"/>
      <c r="AK28" s="20"/>
    </row>
    <row r="29" spans="1:37" x14ac:dyDescent="0.4">
      <c r="A29" s="1" t="s">
        <v>10</v>
      </c>
      <c r="B29" s="9">
        <v>28</v>
      </c>
      <c r="C29" s="1"/>
      <c r="D29" s="1"/>
      <c r="E29" s="2"/>
      <c r="F29" s="1"/>
      <c r="G29" s="1"/>
      <c r="H29" s="1" t="s">
        <v>39</v>
      </c>
      <c r="I29" s="1"/>
      <c r="J29" s="1"/>
      <c r="K29" s="1"/>
      <c r="L29" s="1"/>
      <c r="M29" s="1"/>
      <c r="N29" s="1" t="s">
        <v>39</v>
      </c>
      <c r="O29" s="1"/>
      <c r="P29" s="1" t="s">
        <v>39</v>
      </c>
      <c r="Q29" s="1"/>
      <c r="R29" s="1"/>
      <c r="S29" s="1"/>
      <c r="T29" s="1"/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/>
      <c r="AC29" s="1"/>
      <c r="AD29" s="1"/>
      <c r="AE29" s="1"/>
      <c r="AF29" s="1"/>
      <c r="AG29" s="1" t="s">
        <v>39</v>
      </c>
      <c r="AI29" s="18"/>
      <c r="AJ29" s="28"/>
      <c r="AK29" s="20"/>
    </row>
    <row r="30" spans="1:37" x14ac:dyDescent="0.4">
      <c r="A30" s="1" t="s">
        <v>5</v>
      </c>
      <c r="B30" s="9">
        <v>29</v>
      </c>
      <c r="C30" s="1"/>
      <c r="D30" s="1"/>
      <c r="E30" s="2"/>
      <c r="F30" s="1"/>
      <c r="G30" s="1"/>
      <c r="H30" s="1" t="s">
        <v>39</v>
      </c>
      <c r="I30" s="1"/>
      <c r="J30" s="1" t="s">
        <v>39</v>
      </c>
      <c r="K30" s="1"/>
      <c r="L30" s="1"/>
      <c r="M30" s="1" t="s">
        <v>39</v>
      </c>
      <c r="N30" s="1"/>
      <c r="O30" s="1"/>
      <c r="P30" s="1"/>
      <c r="Q30" s="1"/>
      <c r="R30" s="1"/>
      <c r="S30" s="1"/>
      <c r="T30" s="1"/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/>
      <c r="AC30" s="1"/>
      <c r="AD30" s="1"/>
      <c r="AE30" s="1"/>
      <c r="AF30" s="1"/>
      <c r="AG30" s="1" t="s">
        <v>39</v>
      </c>
      <c r="AI30" s="18"/>
      <c r="AJ30" s="28"/>
      <c r="AK30" s="20"/>
    </row>
    <row r="31" spans="1:37" x14ac:dyDescent="0.4">
      <c r="A31" s="1" t="s">
        <v>6</v>
      </c>
      <c r="B31" s="9">
        <v>30</v>
      </c>
      <c r="C31" s="1"/>
      <c r="D31" s="1"/>
      <c r="E31" s="2"/>
      <c r="F31" s="1"/>
      <c r="G31" s="1"/>
      <c r="H31" s="1" t="s">
        <v>39</v>
      </c>
      <c r="I31" s="1"/>
      <c r="J31" s="1" t="s">
        <v>39</v>
      </c>
      <c r="K31" s="1"/>
      <c r="L31" s="1"/>
      <c r="M31" s="1" t="s">
        <v>39</v>
      </c>
      <c r="N31" s="1"/>
      <c r="O31" s="1"/>
      <c r="P31" s="1"/>
      <c r="Q31" s="1"/>
      <c r="R31" s="1"/>
      <c r="S31" s="1"/>
      <c r="T31" s="1"/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/>
      <c r="AE31" s="1"/>
      <c r="AF31" s="1"/>
      <c r="AG31" s="1" t="s">
        <v>39</v>
      </c>
      <c r="AI31" s="18"/>
      <c r="AJ31" s="28"/>
      <c r="AK31" s="20"/>
    </row>
    <row r="32" spans="1:37" x14ac:dyDescent="0.4">
      <c r="B32" s="9"/>
      <c r="C32" s="1"/>
      <c r="D32" s="1"/>
      <c r="E32" s="2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/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  <c r="AI32" s="18"/>
      <c r="AJ32" s="28"/>
      <c r="AK32" s="20"/>
    </row>
    <row r="33" spans="1:36" x14ac:dyDescent="0.4">
      <c r="B33" s="24"/>
      <c r="C33" s="1"/>
      <c r="D33" s="1"/>
      <c r="E33" s="2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  <c r="AJ33" s="28"/>
    </row>
    <row r="34" spans="1:36" x14ac:dyDescent="0.4">
      <c r="A34" s="7" t="s">
        <v>11</v>
      </c>
      <c r="B34" s="24"/>
      <c r="C34" s="7" t="s">
        <v>50</v>
      </c>
      <c r="D34" s="7" t="s">
        <v>41</v>
      </c>
      <c r="E34" s="30"/>
      <c r="F34" s="7" t="s">
        <v>41</v>
      </c>
      <c r="G34" s="7"/>
      <c r="H34" s="7"/>
      <c r="I34" s="7" t="s">
        <v>48</v>
      </c>
      <c r="J34" s="7" t="s">
        <v>48</v>
      </c>
      <c r="K34" s="7" t="s">
        <v>48</v>
      </c>
      <c r="L34" s="7" t="s">
        <v>49</v>
      </c>
      <c r="M34" s="7" t="s">
        <v>48</v>
      </c>
      <c r="N34" s="7" t="s">
        <v>48</v>
      </c>
      <c r="O34" s="7" t="s">
        <v>48</v>
      </c>
      <c r="P34" s="7" t="s">
        <v>41</v>
      </c>
      <c r="Q34" s="7" t="s">
        <v>48</v>
      </c>
      <c r="R34" s="7" t="s">
        <v>50</v>
      </c>
      <c r="S34" s="7"/>
      <c r="T34" s="7"/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0</v>
      </c>
      <c r="AE34" s="1">
        <f>COUNTIF(AE2:AE31,"x")</f>
        <v>0</v>
      </c>
      <c r="AF34" s="1">
        <f>COUNTIF(AF2:AF31,"x")</f>
        <v>0</v>
      </c>
      <c r="AG34" s="1">
        <f>COUNTIF(AG2:AG31,"x")</f>
        <v>30</v>
      </c>
      <c r="AJ34" s="28"/>
    </row>
    <row r="35" spans="1:36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0</v>
      </c>
      <c r="D35" s="1">
        <f t="shared" si="5"/>
        <v>0</v>
      </c>
      <c r="E35" s="2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>COUNTIF(L2:L32,"Trauma")+COUNTIF(L2:L32,"CHP*")+COUNTIF(L2:L32,"SHY")+COUNTIF(L2:L32,"CT")</f>
        <v>0</v>
      </c>
      <c r="M35" s="1">
        <f t="shared" ref="M35:S35" si="6">COUNTIF(M2:M32,"Trauma")+COUNTIF(M2:M32,"CHP*")+COUNTIF(M2:M32,"SHY")+COUNTIF(M2:M32,"CT")</f>
        <v>0</v>
      </c>
      <c r="N35" s="1">
        <f t="shared" si="6"/>
        <v>0</v>
      </c>
      <c r="O35" s="1">
        <f t="shared" si="6"/>
        <v>0</v>
      </c>
      <c r="P35" s="1">
        <f t="shared" si="6"/>
        <v>0</v>
      </c>
      <c r="Q35" s="1">
        <f t="shared" si="6"/>
        <v>0</v>
      </c>
      <c r="R35" s="1">
        <f t="shared" si="6"/>
        <v>0</v>
      </c>
      <c r="S35" s="1">
        <f t="shared" si="6"/>
        <v>0</v>
      </c>
      <c r="T35" s="1">
        <v>0</v>
      </c>
      <c r="V35" s="3"/>
      <c r="Y35" s="26"/>
      <c r="Z35" s="26"/>
      <c r="AA35" s="26"/>
      <c r="AB35" s="26"/>
      <c r="AJ35" s="28"/>
    </row>
    <row r="36" spans="1:36" x14ac:dyDescent="0.4">
      <c r="A36" s="1" t="s">
        <v>28</v>
      </c>
      <c r="B36" s="9"/>
      <c r="C36" s="9">
        <f>INT(RIGHT(C34))</f>
        <v>4</v>
      </c>
      <c r="D36" s="9">
        <f t="shared" ref="D36:K36" si="7">INT(RIGHT(D34))</f>
        <v>3</v>
      </c>
      <c r="E36" s="27" t="e">
        <f t="shared" si="7"/>
        <v>#VALUE!</v>
      </c>
      <c r="F36" s="9">
        <f t="shared" si="7"/>
        <v>3</v>
      </c>
      <c r="G36" s="9" t="e">
        <f t="shared" si="7"/>
        <v>#VALUE!</v>
      </c>
      <c r="H36" s="9" t="e">
        <f t="shared" si="7"/>
        <v>#VALUE!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T36" si="8">INT(RIGHT(L34))</f>
        <v>4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3</v>
      </c>
      <c r="Q36" s="9">
        <f t="shared" si="8"/>
        <v>5</v>
      </c>
      <c r="R36" s="9">
        <f t="shared" si="8"/>
        <v>4</v>
      </c>
      <c r="S36" s="9" t="e">
        <f t="shared" si="8"/>
        <v>#VALUE!</v>
      </c>
      <c r="T36" s="9" t="e">
        <f t="shared" si="8"/>
        <v>#VALUE!</v>
      </c>
      <c r="W36" s="17" t="s">
        <v>45</v>
      </c>
      <c r="X36" s="3">
        <f>SUM(AC34:AF34)</f>
        <v>0</v>
      </c>
      <c r="AJ36" s="28"/>
    </row>
    <row r="37" spans="1:36" x14ac:dyDescent="0.4">
      <c r="A37" s="1" t="s">
        <v>30</v>
      </c>
      <c r="B37" s="9"/>
      <c r="C37" s="9">
        <f t="shared" ref="C37:T37" si="9">C36-C35</f>
        <v>4</v>
      </c>
      <c r="D37" s="9">
        <f t="shared" si="9"/>
        <v>3</v>
      </c>
      <c r="E37" s="27" t="e">
        <f t="shared" si="9"/>
        <v>#VALUE!</v>
      </c>
      <c r="F37" s="9">
        <f t="shared" si="9"/>
        <v>3</v>
      </c>
      <c r="G37" s="9" t="e">
        <f t="shared" si="9"/>
        <v>#VALUE!</v>
      </c>
      <c r="H37" s="9" t="e">
        <f t="shared" si="9"/>
        <v>#VALUE!</v>
      </c>
      <c r="I37" s="9">
        <f t="shared" si="9"/>
        <v>5</v>
      </c>
      <c r="J37" s="9">
        <f t="shared" si="9"/>
        <v>5</v>
      </c>
      <c r="K37" s="9">
        <f t="shared" si="9"/>
        <v>5</v>
      </c>
      <c r="L37" s="9">
        <f t="shared" ref="L37:S37" si="10">L36-L35</f>
        <v>4</v>
      </c>
      <c r="M37" s="9">
        <f t="shared" si="10"/>
        <v>5</v>
      </c>
      <c r="N37" s="9">
        <f t="shared" si="10"/>
        <v>5</v>
      </c>
      <c r="O37" s="9">
        <f t="shared" si="10"/>
        <v>5</v>
      </c>
      <c r="P37" s="9">
        <f t="shared" si="10"/>
        <v>3</v>
      </c>
      <c r="Q37" s="9">
        <f t="shared" si="10"/>
        <v>5</v>
      </c>
      <c r="R37" s="9">
        <f t="shared" si="10"/>
        <v>4</v>
      </c>
      <c r="S37" s="9" t="e">
        <f t="shared" si="10"/>
        <v>#VALUE!</v>
      </c>
      <c r="T37" s="9" t="e">
        <f t="shared" si="9"/>
        <v>#VALUE!</v>
      </c>
      <c r="W37" s="10" t="s">
        <v>46</v>
      </c>
      <c r="X37" s="3">
        <f>SUM($AC$34:$AG$34)</f>
        <v>30</v>
      </c>
      <c r="AJ37" s="28"/>
    </row>
    <row r="38" spans="1:36" x14ac:dyDescent="0.4">
      <c r="A38" s="1" t="s">
        <v>29</v>
      </c>
      <c r="B38" s="9"/>
      <c r="C38" s="9"/>
      <c r="D38" s="9"/>
      <c r="E38" s="27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47</v>
      </c>
      <c r="X38" s="3" t="e">
        <f>SUM(D36:T36)</f>
        <v>#VALUE!</v>
      </c>
      <c r="AJ38" s="28"/>
    </row>
    <row r="39" spans="1:36" x14ac:dyDescent="0.4">
      <c r="A39" s="1" t="s">
        <v>2</v>
      </c>
      <c r="B39" s="9"/>
      <c r="C39" s="9">
        <f t="shared" ref="C39:S39" si="11">COUNTIF(C$2:C$32,$A39)</f>
        <v>0</v>
      </c>
      <c r="D39" s="9">
        <f t="shared" si="11"/>
        <v>0</v>
      </c>
      <c r="E39" s="27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9">
        <f t="shared" si="11"/>
        <v>0</v>
      </c>
      <c r="S39" s="9">
        <f t="shared" si="11"/>
        <v>0</v>
      </c>
      <c r="T39" s="9">
        <f t="shared" ref="C39:T43" si="12">COUNTIF(T$2:T$32,$A39)</f>
        <v>0</v>
      </c>
      <c r="AJ39" s="28"/>
    </row>
    <row r="40" spans="1:36" x14ac:dyDescent="0.4">
      <c r="A40" s="1" t="s">
        <v>22</v>
      </c>
      <c r="B40" s="9"/>
      <c r="C40" s="9">
        <f t="shared" si="12"/>
        <v>0</v>
      </c>
      <c r="D40" s="9">
        <f t="shared" si="12"/>
        <v>0</v>
      </c>
      <c r="E40" s="27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  <c r="AJ40" s="28"/>
    </row>
    <row r="41" spans="1:36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27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AJ41" s="28"/>
    </row>
    <row r="42" spans="1:36" x14ac:dyDescent="0.4">
      <c r="A42" s="1" t="s">
        <v>23</v>
      </c>
      <c r="B42" s="9"/>
      <c r="C42" s="9">
        <f t="shared" si="12"/>
        <v>0</v>
      </c>
      <c r="D42" s="9">
        <f t="shared" si="12"/>
        <v>0</v>
      </c>
      <c r="E42" s="27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  <c r="AJ42" s="28"/>
    </row>
    <row r="43" spans="1:36" x14ac:dyDescent="0.4">
      <c r="A43" s="1" t="s">
        <v>3</v>
      </c>
      <c r="B43" s="9"/>
      <c r="C43" s="9">
        <f t="shared" si="12"/>
        <v>0</v>
      </c>
      <c r="D43" s="9">
        <f t="shared" si="12"/>
        <v>0</v>
      </c>
      <c r="E43" s="27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  <c r="AJ43" s="28"/>
    </row>
    <row r="44" spans="1:36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2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1">
        <f t="shared" si="14"/>
        <v>0</v>
      </c>
      <c r="S44" s="1"/>
      <c r="T44" s="1">
        <f t="shared" si="13"/>
        <v>0</v>
      </c>
      <c r="AJ44" s="28"/>
    </row>
    <row r="45" spans="1:36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2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/>
      <c r="T45" s="1">
        <f t="shared" si="15"/>
        <v>0</v>
      </c>
      <c r="AJ45" s="28"/>
    </row>
    <row r="46" spans="1:36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2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1">
        <f t="shared" si="18"/>
        <v>0</v>
      </c>
      <c r="S46" s="1"/>
      <c r="T46" s="1">
        <f t="shared" si="17"/>
        <v>0</v>
      </c>
      <c r="AJ46" s="28"/>
    </row>
    <row r="47" spans="1:36" x14ac:dyDescent="0.4">
      <c r="A47" s="1" t="s">
        <v>25</v>
      </c>
      <c r="C47" s="1">
        <f t="shared" ref="C47:T47" si="19">SUM(C44:C46)</f>
        <v>0</v>
      </c>
      <c r="D47" s="1">
        <f t="shared" si="19"/>
        <v>0</v>
      </c>
      <c r="E47" s="2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1">
        <f t="shared" si="20"/>
        <v>0</v>
      </c>
      <c r="R47" s="1">
        <f t="shared" si="20"/>
        <v>0</v>
      </c>
      <c r="S47" s="1"/>
      <c r="T47" s="1">
        <f t="shared" si="19"/>
        <v>0</v>
      </c>
      <c r="AJ47" s="28"/>
    </row>
    <row r="48" spans="1:36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0.6428571428571429</v>
      </c>
      <c r="E48" s="31">
        <f>SUMPRODUCT(COUNTIFS($A$2:$A$32,{"Fri";"Sat";"Sun"},E$2:E$32,"x"))/$B48</f>
        <v>0</v>
      </c>
      <c r="F48" s="11">
        <f>SUMPRODUCT(COUNTIFS($A$2:$A$32,{"Fri";"Sat";"Sun"},F$2:F$32,"x"))/$B48</f>
        <v>0.6428571428571429</v>
      </c>
      <c r="G48" s="11">
        <f>SUMPRODUCT(COUNTIFS($A$2:$A$32,{"Fri";"Sat";"Sun"},G$2:G$32,"x"))/$B48</f>
        <v>0</v>
      </c>
      <c r="H48" s="11">
        <f>SUMPRODUCT(COUNTIFS($A$2:$A$32,{"Fri";"Sat";"Sun"},H$2:H$32,"x"))/$B48</f>
        <v>0.14285714285714285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0.2857142857142857</v>
      </c>
      <c r="K48" s="11">
        <f>SUMPRODUCT(COUNTIFS($A$2:$A$32,{"Fri";"Sat";"Sun"},K$2:K$32,"x"))/$B48</f>
        <v>0.7857142857142857</v>
      </c>
      <c r="L48" s="11">
        <f>SUMPRODUCT(COUNTIFS($A$2:$A$32,{"Fri";"Sat";"Sun"},L$2:L$32,"x"))/$B48</f>
        <v>0.7142857142857143</v>
      </c>
      <c r="M48" s="11">
        <f>SUMPRODUCT(COUNTIFS($A$2:$A$32,{"Fri";"Sat";"Sun"},M$2:M$32,"x"))/$B48</f>
        <v>0.35714285714285715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0.6428571428571429</v>
      </c>
      <c r="Q48" s="11">
        <f>SUMPRODUCT(COUNTIFS($A$2:$A$32,{"Fri";"Sat";"Sun"},Q$2:Q$32,"x"))/$B48</f>
        <v>0.6428571428571429</v>
      </c>
      <c r="R48" s="11">
        <f>SUMPRODUCT(COUNTIFS($A$2:$A$32,{"Fri";"Sat";"Sun"},R$2:R$32,"x"))/$B48</f>
        <v>0.35714285714285715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  <c r="AJ48" s="29"/>
    </row>
    <row r="49" spans="1:36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T49" si="21">COUNTIF(C$2:C$32,"x")/$B49</f>
        <v>0.26666666666666666</v>
      </c>
      <c r="D49" s="11">
        <f t="shared" si="21"/>
        <v>0.76666666666666672</v>
      </c>
      <c r="E49" s="31">
        <f t="shared" si="21"/>
        <v>0</v>
      </c>
      <c r="F49" s="11">
        <f t="shared" si="21"/>
        <v>0.33333333333333331</v>
      </c>
      <c r="G49" s="11">
        <f t="shared" si="21"/>
        <v>0</v>
      </c>
      <c r="H49" s="11">
        <f t="shared" si="21"/>
        <v>0.16666666666666666</v>
      </c>
      <c r="I49" s="11">
        <f t="shared" si="21"/>
        <v>0.4</v>
      </c>
      <c r="J49" s="11">
        <f t="shared" si="21"/>
        <v>0.23333333333333334</v>
      </c>
      <c r="K49" s="11">
        <f t="shared" si="21"/>
        <v>0.6</v>
      </c>
      <c r="L49" s="11">
        <f t="shared" si="21"/>
        <v>0.5</v>
      </c>
      <c r="M49" s="11">
        <f t="shared" si="21"/>
        <v>0.2</v>
      </c>
      <c r="N49" s="11">
        <f t="shared" si="21"/>
        <v>0.46666666666666667</v>
      </c>
      <c r="O49" s="11">
        <f t="shared" si="21"/>
        <v>0.13333333333333333</v>
      </c>
      <c r="P49" s="11">
        <f t="shared" si="21"/>
        <v>0.46666666666666667</v>
      </c>
      <c r="Q49" s="11">
        <f t="shared" si="21"/>
        <v>0.3</v>
      </c>
      <c r="R49" s="11">
        <f t="shared" si="21"/>
        <v>0.2</v>
      </c>
      <c r="S49" s="11">
        <f t="shared" si="21"/>
        <v>0</v>
      </c>
      <c r="T49" s="11">
        <f t="shared" si="21"/>
        <v>0</v>
      </c>
      <c r="AJ49" s="28"/>
    </row>
    <row r="50" spans="1:36" x14ac:dyDescent="0.4">
      <c r="A50" s="3"/>
      <c r="B50" s="12"/>
      <c r="C50" s="3" t="s">
        <v>43</v>
      </c>
      <c r="D50" s="12"/>
      <c r="E50" s="32"/>
      <c r="F50" s="12"/>
      <c r="G50" s="12"/>
      <c r="H50" s="12"/>
      <c r="I50" s="12"/>
      <c r="J50" s="12"/>
      <c r="K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/>
      <c r="T50" s="12" t="s">
        <v>44</v>
      </c>
      <c r="AJ50" s="28"/>
    </row>
    <row r="51" spans="1:36" x14ac:dyDescent="0.4">
      <c r="A51" s="12"/>
      <c r="B51" s="12"/>
      <c r="D51" s="12" t="s">
        <v>54</v>
      </c>
      <c r="E51" s="32"/>
      <c r="F51" s="12"/>
      <c r="G51" s="12"/>
      <c r="H51" s="12"/>
      <c r="I51" s="12"/>
      <c r="J51" s="12" t="s">
        <v>53</v>
      </c>
      <c r="K51" s="12" t="s">
        <v>57</v>
      </c>
      <c r="L51" s="12"/>
      <c r="M51" s="12"/>
      <c r="N51" s="12"/>
      <c r="P51" s="12"/>
      <c r="Q51" s="12" t="s">
        <v>51</v>
      </c>
      <c r="R51" s="3" t="s">
        <v>52</v>
      </c>
      <c r="S51" s="12"/>
      <c r="AJ51" s="28"/>
    </row>
    <row r="52" spans="1:36" x14ac:dyDescent="0.4">
      <c r="A52" s="12"/>
      <c r="B52" s="12"/>
      <c r="C52" s="12"/>
      <c r="D52" s="12" t="s">
        <v>55</v>
      </c>
      <c r="E52" s="3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6" x14ac:dyDescent="0.4">
      <c r="A53" s="12"/>
      <c r="B53" s="12"/>
      <c r="C53" s="12"/>
      <c r="D53" s="12" t="s">
        <v>56</v>
      </c>
      <c r="E53" s="3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6" x14ac:dyDescent="0.4">
      <c r="C54" s="12"/>
    </row>
    <row r="57" spans="1:36" x14ac:dyDescent="0.4">
      <c r="C57" s="8"/>
    </row>
  </sheetData>
  <conditionalFormatting sqref="I8:S8 C4:C30 D4:S7 D8:G8 D9:S30 C31:S32 T2:T33 H8:H28 N5:N22 D7:D28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 N5:N22 D7:D28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AI37 A37:V37 W38 AK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2017-08-18T18:42:42Z</dcterms:modified>
</cp:coreProperties>
</file>