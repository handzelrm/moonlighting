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UyFAeBMOTYX4xS5IuUZMtvwPoxZ+5kZcNvk0JiqtGwNTPi6Lf/sxL5Ih34caTlNpoXHyvXnL1LeQ1IlyXC5E9Q==" workbookSaltValue="R937gyPPmgYNvSP6tn4Odw==" workbookSpinCount="100000" lockStructure="1"/>
  <bookViews>
    <workbookView xWindow="0" yWindow="0" windowWidth="15617" windowHeight="3634"/>
  </bookViews>
  <sheets>
    <sheet name="August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V33" i="5" l="1"/>
  <c r="W33" i="5"/>
  <c r="V34" i="5"/>
  <c r="W34" i="5"/>
  <c r="V35" i="5"/>
  <c r="W35" i="5"/>
  <c r="S36" i="3"/>
  <c r="T36" i="3"/>
  <c r="S35" i="3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3"/>
  <c r="L35" i="5" s="1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L47" i="3" s="1"/>
  <c r="M46" i="3"/>
  <c r="N46" i="3"/>
  <c r="O46" i="3"/>
  <c r="P46" i="3"/>
  <c r="Q46" i="3"/>
  <c r="R46" i="3"/>
  <c r="X12" i="3"/>
  <c r="W12" i="5"/>
  <c r="W3" i="3"/>
  <c r="V3" i="5"/>
  <c r="X3" i="3"/>
  <c r="W3" i="5"/>
  <c r="Y3" i="3"/>
  <c r="X3" i="5"/>
  <c r="Z3" i="3"/>
  <c r="Y3" i="5"/>
  <c r="AA3" i="3"/>
  <c r="Z3" i="5"/>
  <c r="W4" i="3"/>
  <c r="V4" i="5"/>
  <c r="X4" i="3"/>
  <c r="W4" i="5"/>
  <c r="Y4" i="3"/>
  <c r="X4" i="5"/>
  <c r="Z4" i="3"/>
  <c r="AA4" i="3"/>
  <c r="Z4" i="5"/>
  <c r="W5" i="3"/>
  <c r="V5" i="5"/>
  <c r="X5" i="3"/>
  <c r="W5" i="5"/>
  <c r="Y5" i="3"/>
  <c r="X5" i="5"/>
  <c r="Z5" i="3"/>
  <c r="Y5" i="5"/>
  <c r="AA5" i="3"/>
  <c r="Z5" i="5"/>
  <c r="W6" i="3"/>
  <c r="V6" i="5"/>
  <c r="X6" i="3"/>
  <c r="W6" i="5"/>
  <c r="Y6" i="3"/>
  <c r="Z6" i="3"/>
  <c r="Y6" i="5"/>
  <c r="AA6" i="3"/>
  <c r="Z6" i="5"/>
  <c r="W7" i="3"/>
  <c r="V7" i="5"/>
  <c r="X7" i="3"/>
  <c r="W7" i="5"/>
  <c r="Y7" i="3"/>
  <c r="X7" i="5"/>
  <c r="Z7" i="3"/>
  <c r="Y7" i="5"/>
  <c r="AA7" i="3"/>
  <c r="Z7" i="5"/>
  <c r="W8" i="3"/>
  <c r="V8" i="5"/>
  <c r="X8" i="3"/>
  <c r="W8" i="5"/>
  <c r="Y8" i="3"/>
  <c r="X8" i="5"/>
  <c r="Z8" i="3"/>
  <c r="Y8" i="5"/>
  <c r="AA8" i="3"/>
  <c r="Z8" i="5"/>
  <c r="W9" i="3"/>
  <c r="V9" i="5"/>
  <c r="X9" i="3"/>
  <c r="W9" i="5"/>
  <c r="Y9" i="3"/>
  <c r="X9" i="5"/>
  <c r="Z9" i="3"/>
  <c r="Y9" i="5"/>
  <c r="AA9" i="3"/>
  <c r="Z9" i="5"/>
  <c r="W10" i="3"/>
  <c r="V10" i="5"/>
  <c r="X10" i="3"/>
  <c r="W10" i="5"/>
  <c r="Y10" i="3"/>
  <c r="Z10" i="3"/>
  <c r="Y10" i="5"/>
  <c r="AA10" i="3"/>
  <c r="Z10" i="5"/>
  <c r="W11" i="3"/>
  <c r="V11" i="5"/>
  <c r="X11" i="3"/>
  <c r="W11" i="5"/>
  <c r="Y11" i="3"/>
  <c r="X11" i="5"/>
  <c r="Z11" i="3"/>
  <c r="Y11" i="5"/>
  <c r="AA11" i="3"/>
  <c r="Z11" i="5"/>
  <c r="W12" i="3"/>
  <c r="V12" i="5"/>
  <c r="Y12" i="3"/>
  <c r="X12" i="5"/>
  <c r="Z12" i="3"/>
  <c r="Y12" i="5"/>
  <c r="AA12" i="3"/>
  <c r="Z12" i="5"/>
  <c r="W13" i="3"/>
  <c r="V13" i="5"/>
  <c r="X13" i="3"/>
  <c r="W13" i="5"/>
  <c r="Y13" i="3"/>
  <c r="X13" i="5"/>
  <c r="Z13" i="3"/>
  <c r="Y13" i="5"/>
  <c r="AA13" i="3"/>
  <c r="Z13" i="5"/>
  <c r="W14" i="3"/>
  <c r="V14" i="5"/>
  <c r="X14" i="3"/>
  <c r="W14" i="5"/>
  <c r="Y14" i="3"/>
  <c r="Z14" i="3"/>
  <c r="Y14" i="5"/>
  <c r="AA14" i="3"/>
  <c r="Z14" i="5"/>
  <c r="W15" i="3"/>
  <c r="V15" i="5"/>
  <c r="X15" i="3"/>
  <c r="W15" i="5"/>
  <c r="Y15" i="3"/>
  <c r="X15" i="5"/>
  <c r="Z15" i="3"/>
  <c r="Y15" i="5"/>
  <c r="AA15" i="3"/>
  <c r="W16" i="3"/>
  <c r="V16" i="5"/>
  <c r="X16" i="3"/>
  <c r="W16" i="5" s="1"/>
  <c r="Y16" i="3"/>
  <c r="X16" i="5"/>
  <c r="Z16" i="3"/>
  <c r="Y16" i="5" s="1"/>
  <c r="AA16" i="3"/>
  <c r="Z16" i="5" s="1"/>
  <c r="W17" i="3"/>
  <c r="V17" i="5"/>
  <c r="X17" i="3"/>
  <c r="W17" i="5"/>
  <c r="Y17" i="3"/>
  <c r="X17" i="5"/>
  <c r="Z17" i="3"/>
  <c r="Y17" i="5"/>
  <c r="AA17" i="3"/>
  <c r="Z17" i="5"/>
  <c r="W18" i="3"/>
  <c r="V18" i="5"/>
  <c r="X18" i="3"/>
  <c r="W18" i="5"/>
  <c r="Y18" i="3"/>
  <c r="X18" i="5"/>
  <c r="Z18" i="3"/>
  <c r="AA18" i="3"/>
  <c r="Z18" i="5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/>
  <c r="X20" i="3"/>
  <c r="W20" i="5"/>
  <c r="Y20" i="3"/>
  <c r="X20" i="5"/>
  <c r="Z20" i="3"/>
  <c r="AA20" i="3"/>
  <c r="Z20" i="5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/>
  <c r="X22" i="3"/>
  <c r="W22" i="5"/>
  <c r="Y22" i="3"/>
  <c r="X22" i="5"/>
  <c r="Z22" i="3"/>
  <c r="Y22" i="5"/>
  <c r="AA22" i="3"/>
  <c r="Z22" i="5"/>
  <c r="W23" i="3"/>
  <c r="V23" i="5"/>
  <c r="X23" i="3"/>
  <c r="W23" i="5"/>
  <c r="Y23" i="3"/>
  <c r="X23" i="5"/>
  <c r="Z23" i="3"/>
  <c r="Y23" i="5"/>
  <c r="AA23" i="3"/>
  <c r="Z23" i="5"/>
  <c r="W24" i="3"/>
  <c r="V24" i="5"/>
  <c r="X24" i="3"/>
  <c r="W24" i="5"/>
  <c r="Y24" i="3"/>
  <c r="X24" i="5"/>
  <c r="Z24" i="3"/>
  <c r="Y24" i="5"/>
  <c r="AA24" i="3"/>
  <c r="Z24" i="5"/>
  <c r="W25" i="3"/>
  <c r="V25" i="5"/>
  <c r="X25" i="3"/>
  <c r="W25" i="5"/>
  <c r="Y25" i="3"/>
  <c r="X25" i="5"/>
  <c r="Z25" i="3"/>
  <c r="Y25" i="5"/>
  <c r="AA25" i="3"/>
  <c r="Z25" i="5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/>
  <c r="X27" i="3"/>
  <c r="W27" i="5"/>
  <c r="Y27" i="3"/>
  <c r="X27" i="5"/>
  <c r="Z27" i="3"/>
  <c r="Y27" i="5"/>
  <c r="AA27" i="3"/>
  <c r="Z27" i="5"/>
  <c r="W28" i="3"/>
  <c r="V28" i="5"/>
  <c r="X28" i="3"/>
  <c r="W28" i="5"/>
  <c r="Y28" i="3"/>
  <c r="X28" i="5"/>
  <c r="Z28" i="3"/>
  <c r="Y28" i="5"/>
  <c r="AA28" i="3"/>
  <c r="Z28" i="5"/>
  <c r="W29" i="3"/>
  <c r="V29" i="5"/>
  <c r="X29" i="3"/>
  <c r="W29" i="5"/>
  <c r="Y29" i="3"/>
  <c r="X29" i="5"/>
  <c r="Z29" i="3"/>
  <c r="Y29" i="5"/>
  <c r="AA29" i="3"/>
  <c r="Z29" i="5"/>
  <c r="W30" i="3"/>
  <c r="V30" i="5"/>
  <c r="X30" i="3"/>
  <c r="W30" i="5"/>
  <c r="Y30" i="3"/>
  <c r="X30" i="5"/>
  <c r="Z30" i="3"/>
  <c r="AA30" i="3"/>
  <c r="Z30" i="5"/>
  <c r="W31" i="3"/>
  <c r="V31" i="5" s="1"/>
  <c r="X31" i="3"/>
  <c r="W31" i="5" s="1"/>
  <c r="Y31" i="3"/>
  <c r="X31" i="5" s="1"/>
  <c r="Z31" i="3"/>
  <c r="Y31" i="5" s="1"/>
  <c r="AA31" i="3"/>
  <c r="Z31" i="5" s="1"/>
  <c r="AA2" i="3"/>
  <c r="Z2" i="5"/>
  <c r="Z2" i="3"/>
  <c r="Y2" i="5"/>
  <c r="Y2" i="3"/>
  <c r="X2" i="5"/>
  <c r="X2" i="3"/>
  <c r="W2" i="5"/>
  <c r="W2" i="3"/>
  <c r="V2" i="5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T47" i="3"/>
  <c r="C35" i="3"/>
  <c r="C35" i="5"/>
  <c r="D35" i="3"/>
  <c r="D35" i="5"/>
  <c r="E35" i="3"/>
  <c r="E35" i="5"/>
  <c r="F35" i="3"/>
  <c r="F35" i="5"/>
  <c r="G35" i="3"/>
  <c r="G35" i="5"/>
  <c r="H35" i="3"/>
  <c r="H35" i="5"/>
  <c r="I35" i="3"/>
  <c r="I37" i="3" s="1"/>
  <c r="J35" i="3"/>
  <c r="J35" i="5" s="1"/>
  <c r="K35" i="3"/>
  <c r="K37" i="3" s="1"/>
  <c r="Y4" i="5"/>
  <c r="X6" i="5"/>
  <c r="X10" i="5"/>
  <c r="X14" i="5"/>
  <c r="Z15" i="5"/>
  <c r="Y18" i="5"/>
  <c r="Y20" i="5"/>
  <c r="Y30" i="5"/>
  <c r="X32" i="3"/>
  <c r="W32" i="5" s="1"/>
  <c r="Y32" i="3"/>
  <c r="X32" i="5" s="1"/>
  <c r="Z32" i="3"/>
  <c r="Y32" i="5" s="1"/>
  <c r="AA32" i="3"/>
  <c r="Z32" i="5" s="1"/>
  <c r="W32" i="3"/>
  <c r="V32" i="5" s="1"/>
  <c r="T37" i="3"/>
  <c r="S37" i="3"/>
  <c r="D47" i="3"/>
  <c r="H47" i="3"/>
  <c r="N47" i="3"/>
  <c r="N37" i="3"/>
  <c r="H37" i="3"/>
  <c r="X38" i="3"/>
  <c r="M37" i="3"/>
  <c r="D37" i="3"/>
  <c r="R47" i="3"/>
  <c r="R37" i="3"/>
  <c r="M47" i="3"/>
  <c r="C47" i="3"/>
  <c r="C37" i="3"/>
  <c r="F47" i="3"/>
  <c r="F37" i="3"/>
  <c r="I47" i="3"/>
  <c r="G47" i="3"/>
  <c r="G37" i="3"/>
  <c r="O37" i="3"/>
  <c r="O47" i="3"/>
  <c r="Q47" i="3"/>
  <c r="Q37" i="3"/>
  <c r="P37" i="3"/>
  <c r="P47" i="3"/>
  <c r="L37" i="3"/>
  <c r="E47" i="3"/>
  <c r="E37" i="3"/>
  <c r="K47" i="3" l="1"/>
  <c r="K35" i="5"/>
  <c r="J47" i="3"/>
  <c r="J37" i="3"/>
  <c r="X36" i="3"/>
  <c r="I35" i="5"/>
  <c r="X37" i="3"/>
</calcChain>
</file>

<file path=xl/sharedStrings.xml><?xml version="1.0" encoding="utf-8"?>
<sst xmlns="http://schemas.openxmlformats.org/spreadsheetml/2006/main" count="493" uniqueCount="62">
  <si>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</si>
  <si>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</si>
  <si>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</si>
  <si>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</si>
  <si>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</si>
  <si>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</si>
  <si>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</si>
  <si>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</si>
  <si>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</si>
  <si>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</si>
  <si>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</si>
  <si>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</si>
  <si>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</si>
  <si>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</si>
  <si>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</si>
  <si>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</si>
  <si>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</si>
  <si>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</si>
  <si>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</si>
  <si>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</si>
  <si>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</si>
  <si>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</si>
  <si>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</si>
  <si>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</si>
  <si>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</si>
  <si>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</si>
  <si>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</si>
  <si>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</si>
  <si>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</si>
  <si>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</si>
  <si>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</si>
  <si>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</si>
  <si>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</si>
  <si>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</si>
  <si>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</si>
  <si>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</si>
  <si>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</si>
  <si>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</si>
  <si>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</si>
  <si>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</si>
  <si>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</si>
  <si>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</si>
  <si>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</si>
  <si>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</si>
  <si>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</si>
  <si>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</si>
  <si>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</si>
  <si>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</si>
  <si>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</si>
  <si>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</si>
  <si>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</si>
  <si>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</si>
  <si>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</si>
  <si>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</si>
  <si>
    <t>5</t>
  </si>
  <si>
    <t>?requesting 25-27</t>
  </si>
  <si>
    <t>ideally 8/5 - 8/11</t>
  </si>
  <si>
    <t>1</t>
  </si>
  <si>
    <t>3-4</t>
  </si>
  <si>
    <t>4</t>
  </si>
  <si>
    <t>earlier in month calls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</si>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</sst>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11" fillId="0" borderId="0" xfId="1002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0" fontId="12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2" borderId="0" xfId="0" applyNumberForma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alignment horizontal="center"/>
      <protection hidden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I39" sqref="I39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>x</v>
      </c>
      <c r="D2" s="13" t="str">
        <f>IF(ISBLANK(Master!D2),"",Master!D2)</f>
        <v>Trauma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 t="str">
        <f>IF(ISBLANK(Master!H2),"",Master!H2)</f>
        <v/>
      </c>
      <c r="I2" s="13" t="str">
        <f>IF(ISBLANK(Master!I2),"",Master!I2)</f>
        <v>SHY</v>
      </c>
      <c r="J2" s="13">
        <f>IF(ISBLANK(Master!J2),"",Master!J2)</f>
        <v>0</v>
      </c>
      <c r="K2" s="13" t="str">
        <f>IF(ISBLANK(Master!K2),"",Master!K2)</f>
        <v>x</v>
      </c>
      <c r="L2" s="13" t="str">
        <f>IF(ISBLANK(Master!L2),"",Master!L2)</f>
        <v/>
      </c>
      <c r="M2" s="13">
        <f>IF(ISBLANK(Master!M2),"",Master!M2)</f>
        <v>0</v>
      </c>
      <c r="N2" s="13" t="str">
        <f>IF(ISBLANK(Master!N2),"",Master!N2)</f>
        <v/>
      </c>
      <c r="O2" s="13">
        <f>IF(ISBLANK(Master!O2),"",Master!O2)</f>
        <v>0</v>
      </c>
      <c r="P2" s="13" t="str">
        <f>IF(ISBLANK(Master!P2),"",Master!P2)</f>
        <v/>
      </c>
      <c r="Q2" s="13">
        <f>IF(ISBLANK(Master!Q2),"",Master!Q2)</f>
        <v>1</v>
      </c>
      <c r="R2" s="13" t="str">
        <f>IF(ISBLANK(Master!R2),"",Master!R2)</f>
        <v>CT</v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>Van Der Windt</v>
      </c>
      <c r="W2" s="13" t="str">
        <f>IF(ISBLANK(Master!X2),"",Master!X2)</f>
        <v>Okolo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Nicholson</v>
      </c>
    </row>
    <row r="3" spans="1:26" x14ac:dyDescent="0.4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>x</v>
      </c>
      <c r="D3" s="13" t="str">
        <f>IF(ISBLANK(Master!D3),"",Master!D3)</f>
        <v/>
      </c>
      <c r="E3" s="13" t="str">
        <f>IF(ISBLANK(Master!E3),"",Master!E3)</f>
        <v>CHP Sr.</v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>Trauma</v>
      </c>
      <c r="I3" s="13" t="str">
        <f>IF(ISBLANK(Master!I3),"",Master!I3)</f>
        <v/>
      </c>
      <c r="J3" s="13">
        <f>IF(ISBLANK(Master!J3),"",Master!J3)</f>
        <v>1</v>
      </c>
      <c r="K3" s="13">
        <f>IF(ISBLANK(Master!K3),"",Master!K3)</f>
        <v>1</v>
      </c>
      <c r="L3" s="13" t="str">
        <f>IF(ISBLANK(Master!L3),"",Master!L3)</f>
        <v/>
      </c>
      <c r="M3" s="13">
        <f>IF(ISBLANK(Master!M3),"",Master!M3)</f>
        <v>1</v>
      </c>
      <c r="N3" s="13" t="str">
        <f>IF(ISBLANK(Master!N3),"",Master!N3)</f>
        <v>SHY</v>
      </c>
      <c r="O3" s="13">
        <f>IF(ISBLANK(Master!O3),"",Master!O3)</f>
        <v>1</v>
      </c>
      <c r="P3" s="13" t="str">
        <f>IF(ISBLANK(Master!P3),"",Master!P3)</f>
        <v>CT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>Hill (Kirk)</v>
      </c>
      <c r="W3" s="13" t="str">
        <f>IF(ISBLANK(Master!X3),"",Master!X3)</f>
        <v>Gallagher</v>
      </c>
      <c r="X3" s="13" t="str">
        <f>IF(ISBLANK(Master!Y3),"",Master!Y3)</f>
        <v>Yeh</v>
      </c>
      <c r="Y3" s="13" t="str">
        <f>IF(ISBLANK(Master!Z3),"",Master!Z3)</f>
        <v/>
      </c>
      <c r="Z3" s="13" t="str">
        <f>IF(ISBLANK(Master!AA3),"",Master!AA3)</f>
        <v>Kulkarni</v>
      </c>
    </row>
    <row r="4" spans="1:26" x14ac:dyDescent="0.4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>x</v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>CHP Sr.</v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SHY</v>
      </c>
      <c r="K4" s="13" t="str">
        <f>IF(ISBLANK(Master!K4),"",Master!K4)</f>
        <v>CT</v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Siow</v>
      </c>
      <c r="X4" s="13" t="str">
        <f>IF(ISBLANK(Master!Y4),"",Master!Y4)</f>
        <v>Handzel</v>
      </c>
      <c r="Y4" s="13" t="str">
        <f>IF(ISBLANK(Master!Z4),"",Master!Z4)</f>
        <v/>
      </c>
      <c r="Z4" s="13" t="str">
        <f>IF(ISBLANK(Master!AA4),"",Master!AA4)</f>
        <v>Tam</v>
      </c>
    </row>
    <row r="5" spans="1:26" x14ac:dyDescent="0.4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CT</v>
      </c>
      <c r="E5" s="13" t="str">
        <f>IF(ISBLANK(Master!E5),"",Master!E5)</f>
        <v>x</v>
      </c>
      <c r="F5" s="13" t="str">
        <f>IF(ISBLANK(Master!F5),"",Master!F5)</f>
        <v>Trauma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x</v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Griepentrog</v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Van Der Windt</v>
      </c>
    </row>
    <row r="6" spans="1:26" x14ac:dyDescent="0.4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>x</v>
      </c>
      <c r="F6" s="13" t="str">
        <f>IF(ISBLANK(Master!F6),"",Master!F6)</f>
        <v>x</v>
      </c>
      <c r="G6" s="13" t="str">
        <f>IF(ISBLANK(Master!G6),"",Master!G6)</f>
        <v>x</v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>CT</v>
      </c>
      <c r="P6" s="13" t="str">
        <f>IF(ISBLANK(Master!P6),"",Master!P6)</f>
        <v>x</v>
      </c>
      <c r="Q6" s="13" t="str">
        <f>IF(ISBLANK(Master!Q6),"",Master!Q6)</f>
        <v>x</v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Huckaby</v>
      </c>
    </row>
    <row r="7" spans="1:26" x14ac:dyDescent="0.4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x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SHY</v>
      </c>
      <c r="N7" s="13" t="str">
        <f>IF(ISBLANK(Master!N7),"",Master!N7)</f>
        <v>x</v>
      </c>
      <c r="O7" s="13" t="str">
        <f>IF(ISBLANK(Master!O7),"",Master!O7)</f>
        <v/>
      </c>
      <c r="P7" s="13" t="str">
        <f>IF(ISBLANK(Master!P7),"",Master!P7)</f>
        <v>x</v>
      </c>
      <c r="Q7" s="13" t="str">
        <f>IF(ISBLANK(Master!Q7),"",Master!Q7)</f>
        <v>x</v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Dadashzadeh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4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>SHY</v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CHP Sr.</v>
      </c>
      <c r="J8" s="13" t="str">
        <f>IF(ISBLANK(Master!J8),"",Master!J8)</f>
        <v>CT</v>
      </c>
      <c r="K8" s="13" t="str">
        <f>IF(ISBLANK(Master!K8),"",Master!K8)</f>
        <v/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x</v>
      </c>
      <c r="P8" s="13" t="str">
        <f>IF(ISBLANK(Master!P8),"",Master!P8)</f>
        <v>Trauma</v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Kulkarni</v>
      </c>
      <c r="W8" s="13" t="str">
        <f>IF(ISBLANK(Master!X8),"",Master!X8)</f>
        <v>Yeh</v>
      </c>
      <c r="X8" s="13" t="str">
        <f>IF(ISBLANK(Master!Y8),"",Master!Y8)</f>
        <v>Okolo</v>
      </c>
      <c r="Y8" s="13" t="str">
        <f>IF(ISBLANK(Master!Z8),"",Master!Z8)</f>
        <v/>
      </c>
      <c r="Z8" s="13" t="str">
        <f>IF(ISBLANK(Master!AA8),"",Master!AA8)</f>
        <v>Siow</v>
      </c>
    </row>
    <row r="9" spans="1:26" x14ac:dyDescent="0.4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SHY</v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x</v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>CT</v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Van Der Windt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Myers</v>
      </c>
    </row>
    <row r="10" spans="1:26" x14ac:dyDescent="0.4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Trauma</v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CT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x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>SHY</v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>Handzel</v>
      </c>
      <c r="W10" s="13" t="str">
        <f>IF(ISBLANK(Master!X10),"",Master!X10)</f>
        <v>Nicholson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Tam</v>
      </c>
    </row>
    <row r="11" spans="1:26" x14ac:dyDescent="0.4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>SHY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>x</v>
      </c>
      <c r="O11" s="13" t="str">
        <f>IF(ISBLANK(Master!O11),"",Master!O11)</f>
        <v>CT</v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Okolo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Huckaby</v>
      </c>
    </row>
    <row r="12" spans="1:26" x14ac:dyDescent="0.4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>x</v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>CHP Sr.</v>
      </c>
      <c r="K12" s="13" t="str">
        <f>IF(ISBLANK(Master!K12),"",Master!K12)</f>
        <v>x</v>
      </c>
      <c r="L12" s="13" t="str">
        <f>IF(ISBLANK(Master!L12),"",Master!L12)</f>
        <v/>
      </c>
      <c r="M12" s="13" t="str">
        <f>IF(ISBLANK(Master!M12),"",Master!M12)</f>
        <v>Trauma</v>
      </c>
      <c r="N12" s="13" t="str">
        <f>IF(ISBLANK(Master!N12),"",Master!N12)</f>
        <v>x</v>
      </c>
      <c r="O12" s="13" t="str">
        <f>IF(ISBLANK(Master!O12),"",Master!O12)</f>
        <v/>
      </c>
      <c r="P12" s="13" t="str">
        <f>IF(ISBLANK(Master!P12),"",Master!P12)</f>
        <v>x</v>
      </c>
      <c r="Q12" s="13" t="str">
        <f>IF(ISBLANK(Master!Q12),"",Master!Q12)</f>
        <v>x</v>
      </c>
      <c r="R12" s="13" t="str">
        <f>IF(ISBLANK(Master!R12),"",Master!R12)</f>
        <v/>
      </c>
      <c r="S12" s="13" t="str">
        <f>IF(ISBLANK(Master!S12),"",Master!S12)</f>
        <v>CT</v>
      </c>
      <c r="T12" s="13" t="str">
        <f>IF(ISBLANK(Master!T12),"",Master!T12)</f>
        <v>x</v>
      </c>
      <c r="V12" s="13" t="str">
        <f>IF(ISBLANK(Master!W12),"",Master!W12)</f>
        <v>Dadashzadeh</v>
      </c>
      <c r="W12" s="13" t="str">
        <f>IF(ISBLANK(Master!X12),"",Master!X12)</f>
        <v/>
      </c>
      <c r="X12" s="13" t="str">
        <f>IF(ISBLANK(Master!Y12),"",Master!Y12)</f>
        <v>Siow</v>
      </c>
      <c r="Y12" s="13" t="str">
        <f>IF(ISBLANK(Master!Z12),"",Master!Z12)</f>
        <v/>
      </c>
      <c r="Z12" s="13" t="str">
        <f>IF(ISBLANK(Master!AA12),"",Master!AA12)</f>
        <v>Yecies</v>
      </c>
    </row>
    <row r="13" spans="1:26" x14ac:dyDescent="0.4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>x</v>
      </c>
      <c r="E13" s="13" t="str">
        <f>IF(ISBLANK(Master!E13),"",Master!E13)</f>
        <v>x</v>
      </c>
      <c r="F13" s="13" t="str">
        <f>IF(ISBLANK(Master!F13),"",Master!F13)</f>
        <v>x</v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>Trauma</v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>x</v>
      </c>
      <c r="Q13" s="13" t="str">
        <f>IF(ISBLANK(Master!Q13),"",Master!Q13)</f>
        <v>x</v>
      </c>
      <c r="R13" s="13" t="str">
        <f>IF(ISBLANK(Master!R13),"",Master!R13)</f>
        <v>CT</v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>Cyr</v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Nicholson</v>
      </c>
    </row>
    <row r="14" spans="1:26" x14ac:dyDescent="0.4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>x</v>
      </c>
      <c r="G14" s="13" t="str">
        <f>IF(ISBLANK(Master!G14),"",Master!G14)</f>
        <v>x</v>
      </c>
      <c r="H14" s="13" t="str">
        <f>IF(ISBLANK(Master!H14),"",Master!H14)</f>
        <v>x</v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x</v>
      </c>
      <c r="O14" s="13" t="str">
        <f>IF(ISBLANK(Master!O14),"",Master!O14)</f>
        <v/>
      </c>
      <c r="P14" s="13" t="str">
        <f>IF(ISBLANK(Master!P14),"",Master!P14)</f>
        <v>x</v>
      </c>
      <c r="Q14" s="13" t="str">
        <f>IF(ISBLANK(Master!Q14),"",Master!Q14)</f>
        <v>SHY</v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Myers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4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>CHP Sr.</v>
      </c>
      <c r="D15" s="13" t="str">
        <f>IF(ISBLANK(Master!D15),"",Master!D15)</f>
        <v>CT</v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>x</v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>x</v>
      </c>
      <c r="P15" s="13" t="str">
        <f>IF(ISBLANK(Master!P15),"",Master!P15)</f>
        <v>SHY</v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Kulkarni</v>
      </c>
      <c r="X15" s="13" t="str">
        <f>IF(ISBLANK(Master!Y15),"",Master!Y15)</f>
        <v>Dyer</v>
      </c>
      <c r="Y15" s="13" t="str">
        <f>IF(ISBLANK(Master!Z15),"",Master!Z15)</f>
        <v/>
      </c>
      <c r="Z15" s="13" t="str">
        <f>IF(ISBLANK(Master!AA15),"",Master!AA15)</f>
        <v>Van Der Windt</v>
      </c>
    </row>
    <row r="16" spans="1:26" x14ac:dyDescent="0.4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>x</v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>CT</v>
      </c>
      <c r="J16" s="13" t="str">
        <f>IF(ISBLANK(Master!J16),"",Master!J16)</f>
        <v/>
      </c>
      <c r="K16" s="13" t="str">
        <f>IF(ISBLANK(Master!K16),"",Master!K16)</f>
        <v>CHP Jr.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>x</v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>SHY</v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Nicholson</v>
      </c>
      <c r="X16" s="13" t="str">
        <f>IF(ISBLANK(Master!Y16),"",Master!Y16)</f>
        <v/>
      </c>
      <c r="Y16" s="13" t="str">
        <f>IF(ISBLANK(Master!Z16),"",Master!Z16)</f>
        <v>Tam</v>
      </c>
      <c r="Z16" s="13" t="str">
        <f>IF(ISBLANK(Master!AA16),"",Master!AA16)</f>
        <v>Okolo</v>
      </c>
    </row>
    <row r="17" spans="1:26" x14ac:dyDescent="0.4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CT</v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>Trauma</v>
      </c>
      <c r="K17" s="13" t="str">
        <f>IF(ISBLANK(Master!K17),"",Master!K17)</f>
        <v/>
      </c>
      <c r="L17" s="13" t="str">
        <f>IF(ISBLANK(Master!L17),"",Master!L17)</f>
        <v>SHY</v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>Siow</v>
      </c>
      <c r="W17" s="13" t="str">
        <f>IF(ISBLANK(Master!X17),"",Master!X17)</f>
        <v>Cyr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Handzel</v>
      </c>
    </row>
    <row r="18" spans="1:26" x14ac:dyDescent="0.4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>SHY</v>
      </c>
      <c r="G18" s="13" t="str">
        <f>IF(ISBLANK(Master!G18),"",Master!G18)</f>
        <v>x</v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>Trauma</v>
      </c>
      <c r="N18" s="13" t="str">
        <f>IF(ISBLANK(Master!N18),"",Master!N18)</f>
        <v>x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Dadashzadeh</v>
      </c>
      <c r="W18" s="13" t="str">
        <f>IF(ISBLANK(Master!X18),"",Master!X18)</f>
        <v>Griepentrog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Huckaby</v>
      </c>
    </row>
    <row r="19" spans="1:26" x14ac:dyDescent="0.4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>x</v>
      </c>
      <c r="F19" s="13" t="str">
        <f>IF(ISBLANK(Master!F19),"",Master!F19)</f>
        <v>x</v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>CHP Jr.</v>
      </c>
      <c r="J19" s="13" t="str">
        <f>IF(ISBLANK(Master!J19),"",Master!J19)</f>
        <v>CT</v>
      </c>
      <c r="K19" s="13" t="str">
        <f>IF(ISBLANK(Master!K19),"",Master!K19)</f>
        <v>x</v>
      </c>
      <c r="L19" s="13" t="str">
        <f>IF(ISBLANK(Master!L19),"",Master!L19)</f>
        <v>x</v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>x</v>
      </c>
      <c r="Q19" s="13" t="str">
        <f>IF(ISBLANK(Master!Q19),"",Master!Q19)</f>
        <v>Trauma</v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>Myers</v>
      </c>
      <c r="W19" s="13" t="str">
        <f>IF(ISBLANK(Master!X19),"",Master!X19)</f>
        <v/>
      </c>
      <c r="X19" s="13" t="str">
        <f>IF(ISBLANK(Master!Y19),"",Master!Y19)</f>
        <v>NEEDS COVERAGE</v>
      </c>
      <c r="Y19" s="13" t="str">
        <f>IF(ISBLANK(Master!Z19),"",Master!Z19)</f>
        <v>Okolo</v>
      </c>
      <c r="Z19" s="13" t="str">
        <f>IF(ISBLANK(Master!AA19),"",Master!AA19)</f>
        <v>Siow</v>
      </c>
    </row>
    <row r="20" spans="1:26" x14ac:dyDescent="0.4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>x</v>
      </c>
      <c r="F20" s="13" t="str">
        <f>IF(ISBLANK(Master!F20),"",Master!F20)</f>
        <v>x</v>
      </c>
      <c r="G20" s="13" t="str">
        <f>IF(ISBLANK(Master!G20),"",Master!G20)</f>
        <v>x</v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>x</v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>x</v>
      </c>
      <c r="Q20" s="13" t="str">
        <f>IF(ISBLANK(Master!Q20),"",Master!Q20)</f>
        <v/>
      </c>
      <c r="R20" s="13" t="str">
        <f>IF(ISBLANK(Master!R20),"",Master!R20)</f>
        <v>CT</v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Nicholson</v>
      </c>
    </row>
    <row r="21" spans="1:26" x14ac:dyDescent="0.4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>SHY</v>
      </c>
      <c r="D21" s="13" t="str">
        <f>IF(ISBLANK(Master!D21),"",Master!D21)</f>
        <v>CHP Jr.</v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/>
      </c>
      <c r="N21" s="13" t="str">
        <f>IF(ISBLANK(Master!N21),"",Master!N21)</f>
        <v>x</v>
      </c>
      <c r="O21" s="13" t="str">
        <f>IF(ISBLANK(Master!O21),"",Master!O21)</f>
        <v/>
      </c>
      <c r="P21" s="13" t="str">
        <f>IF(ISBLANK(Master!P21),"",Master!P21)</f>
        <v>x</v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Dyer</v>
      </c>
      <c r="X21" s="13" t="str">
        <f>IF(ISBLANK(Master!Y21),"",Master!Y21)</f>
        <v/>
      </c>
      <c r="Y21" s="13" t="str">
        <f>IF(ISBLANK(Master!Z21),"",Master!Z21)</f>
        <v>Van Der Windt</v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>CT</v>
      </c>
      <c r="O22" s="13" t="str">
        <f>IF(ISBLANK(Master!O22),"",Master!O22)</f>
        <v>x</v>
      </c>
      <c r="P22" s="13" t="str">
        <f>IF(ISBLANK(Master!P22),"",Master!P22)</f>
        <v/>
      </c>
      <c r="Q22" s="13" t="str">
        <f>IF(ISBLANK(Master!Q22),"",Master!Q22)</f>
        <v>SHY</v>
      </c>
      <c r="R22" s="13" t="str">
        <f>IF(ISBLANK(Master!R22),"",Master!R22)</f>
        <v>Trauma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>Nicholson</v>
      </c>
      <c r="W22" s="13" t="str">
        <f>IF(ISBLANK(Master!X22),"",Master!X22)</f>
        <v>Myers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Gallagher</v>
      </c>
    </row>
    <row r="23" spans="1:26" x14ac:dyDescent="0.4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Trauma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>CT</v>
      </c>
      <c r="N23" s="13" t="str">
        <f>IF(ISBLANK(Master!N23),"",Master!N23)</f>
        <v/>
      </c>
      <c r="O23" s="13" t="str">
        <f>IF(ISBLANK(Master!O23),"",Master!O23)</f>
        <v>SHY</v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Yeh</v>
      </c>
      <c r="W23" s="13" t="str">
        <f>IF(ISBLANK(Master!X23),"",Master!X23)</f>
        <v>Huckaby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Dadashzadeh</v>
      </c>
    </row>
    <row r="24" spans="1:26" x14ac:dyDescent="0.4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>SHY</v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/>
      </c>
      <c r="M24" s="13" t="str">
        <f>IF(ISBLANK(Master!M24),"",Master!M24)</f>
        <v>x</v>
      </c>
      <c r="N24" s="13" t="str">
        <f>IF(ISBLANK(Master!N24),"",Master!N24)</f>
        <v>Trauma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CT</v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>Gallagher</v>
      </c>
      <c r="W24" s="13" t="str">
        <f>IF(ISBLANK(Master!X24),"",Master!X24)</f>
        <v>Handzel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Myers</v>
      </c>
    </row>
    <row r="25" spans="1:26" x14ac:dyDescent="0.4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>x</v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>CT</v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>SHY</v>
      </c>
      <c r="M25" s="13" t="str">
        <f>IF(ISBLANK(Master!M25),"",Master!M25)</f>
        <v>x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Cyr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Okolo</v>
      </c>
    </row>
    <row r="26" spans="1:26" x14ac:dyDescent="0.4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>x</v>
      </c>
      <c r="D26" s="13" t="str">
        <f>IF(ISBLANK(Master!D26),"",Master!D26)</f>
        <v/>
      </c>
      <c r="E26" s="13" t="str">
        <f>IF(ISBLANK(Master!E26),"",Master!E26)</f>
        <v>x</v>
      </c>
      <c r="F26" s="13" t="str">
        <f>IF(ISBLANK(Master!F26),"",Master!F26)</f>
        <v>CT</v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>x</v>
      </c>
      <c r="J26" s="13" t="str">
        <f>IF(ISBLANK(Master!J26),"",Master!J26)</f>
        <v>CHP Sr.</v>
      </c>
      <c r="K26" s="13" t="str">
        <f>IF(ISBLANK(Master!K26),"",Master!K26)</f>
        <v>Trauma</v>
      </c>
      <c r="L26" s="13" t="str">
        <f>IF(ISBLANK(Master!L26),"",Master!L26)</f>
        <v>x</v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>x</v>
      </c>
      <c r="R26" s="13" t="str">
        <f>IF(ISBLANK(Master!R26),"",Master!R26)</f>
        <v>x</v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Tam</v>
      </c>
      <c r="W26" s="13" t="str">
        <f>IF(ISBLANK(Master!X26),"",Master!X26)</f>
        <v/>
      </c>
      <c r="X26" s="13" t="str">
        <f>IF(ISBLANK(Master!Y26),"",Master!Y26)</f>
        <v>Siow</v>
      </c>
      <c r="Y26" s="13" t="str">
        <f>IF(ISBLANK(Master!Z26),"",Master!Z26)</f>
        <v/>
      </c>
      <c r="Z26" s="13" t="str">
        <f>IF(ISBLANK(Master!AA26),"",Master!AA26)</f>
        <v>Griepentrog</v>
      </c>
    </row>
    <row r="27" spans="1:26" x14ac:dyDescent="0.4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>x</v>
      </c>
      <c r="D27" s="13" t="str">
        <f>IF(ISBLANK(Master!D27),"",Master!D27)</f>
        <v/>
      </c>
      <c r="E27" s="13" t="str">
        <f>IF(ISBLANK(Master!E27),"",Master!E27)</f>
        <v>x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x</v>
      </c>
      <c r="I27" s="13" t="str">
        <f>IF(ISBLANK(Master!I27),"",Master!I27)</f>
        <v>x</v>
      </c>
      <c r="J27" s="13" t="str">
        <f>IF(ISBLANK(Master!J27),"",Master!J27)</f>
        <v>x</v>
      </c>
      <c r="K27" s="13" t="str">
        <f>IF(ISBLANK(Master!K27),"",Master!K27)</f>
        <v/>
      </c>
      <c r="L27" s="13" t="str">
        <f>IF(ISBLANK(Master!L27),"",Master!L27)</f>
        <v>x</v>
      </c>
      <c r="M27" s="13" t="str">
        <f>IF(ISBLANK(Master!M27),"",Master!M27)</f>
        <v>x</v>
      </c>
      <c r="N27" s="13" t="str">
        <f>IF(ISBLANK(Master!N27),"",Master!N27)</f>
        <v>CT</v>
      </c>
      <c r="O27" s="13" t="str">
        <f>IF(ISBLANK(Master!O27),"",Master!O27)</f>
        <v>x</v>
      </c>
      <c r="P27" s="13" t="str">
        <f>IF(ISBLANK(Master!P27),"",Master!P27)</f>
        <v>x</v>
      </c>
      <c r="Q27" s="13" t="str">
        <f>IF(ISBLANK(Master!Q27),"",Master!Q27)</f>
        <v>x</v>
      </c>
      <c r="R27" s="13" t="str">
        <f>IF(ISBLANK(Master!R27),"",Master!R27)</f>
        <v>x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Gallagher</v>
      </c>
    </row>
    <row r="28" spans="1:26" x14ac:dyDescent="0.4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>x</v>
      </c>
      <c r="H28" s="13" t="str">
        <f>IF(ISBLANK(Master!H28),"",Master!H28)</f>
        <v>x</v>
      </c>
      <c r="I28" s="13" t="str">
        <f>IF(ISBLANK(Master!I28),"",Master!I28)</f>
        <v>x</v>
      </c>
      <c r="J28" s="13" t="str">
        <f>IF(ISBLANK(Master!J28),"",Master!J28)</f>
        <v>x</v>
      </c>
      <c r="K28" s="13" t="str">
        <f>IF(ISBLANK(Master!K28),"",Master!K28)</f>
        <v>SHY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>x</v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>x</v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Tam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>Trauma</v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CT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>SHY</v>
      </c>
      <c r="N29" s="13" t="str">
        <f>IF(ISBLANK(Master!N29),"",Master!N29)</f>
        <v>x</v>
      </c>
      <c r="O29" s="13" t="str">
        <f>IF(ISBLANK(Master!O29),"",Master!O29)</f>
        <v>x</v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Dyer</v>
      </c>
      <c r="W29" s="13" t="str">
        <f>IF(ISBLANK(Master!X29),"",Master!X29)</f>
        <v>Dadashzadeh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Hill (Kirk)</v>
      </c>
    </row>
    <row r="30" spans="1:26" x14ac:dyDescent="0.4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CT</v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>SHY</v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Huckaby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Handzel</v>
      </c>
    </row>
    <row r="31" spans="1:26" x14ac:dyDescent="0.4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>CT</v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SHY</v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Kulkarni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Tam</v>
      </c>
    </row>
    <row r="32" spans="1:26" x14ac:dyDescent="0.4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>SHY</v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>CT</v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Hill (Kirk)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Cyr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3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3-4</v>
      </c>
      <c r="O34" s="13" t="str">
        <f>IF(ISBLANK(Master!O34),"",Master!O34)</f>
        <v>5</v>
      </c>
      <c r="P34" s="13" t="str">
        <f>IF(ISBLANK(Master!P34),"",Master!P34)</f>
        <v>4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1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5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3</v>
      </c>
      <c r="I35" s="13">
        <f>IF(ISBLANK(Master!I35),"",Master!I35)</f>
        <v>6</v>
      </c>
      <c r="J35" s="13">
        <f>IF(ISBLANK(Master!J35),"",Master!J35)</f>
        <v>6</v>
      </c>
      <c r="K35" s="13">
        <f>IF(ISBLANK(Master!K35),"",Master!K35)</f>
        <v>6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4</v>
      </c>
      <c r="O35" s="13">
        <f>IF(ISBLANK(Master!O35),"",Master!O35)</f>
        <v>5</v>
      </c>
      <c r="P35" s="13">
        <f>IF(ISBLANK(Master!P35),"",Master!P35)</f>
        <v>4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1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70" zoomScaleNormal="70" zoomScalePageLayoutView="65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L33" sqref="L33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5" bestFit="1" customWidth="1"/>
    <col min="13" max="13" width="11.69140625" style="3" bestFit="1" customWidth="1"/>
    <col min="14" max="14" width="10.53515625" style="3" bestFit="1" customWidth="1"/>
    <col min="15" max="15" width="10.3828125" style="3" bestFit="1" customWidth="1"/>
    <col min="16" max="16" width="10" style="3" customWidth="1"/>
    <col min="17" max="17" width="10" style="3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15" style="3" bestFit="1" customWidth="1"/>
    <col min="23" max="27" width="16.84375" style="10" bestFit="1" customWidth="1"/>
    <col min="28" max="28" width="36.30468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23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2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6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9</v>
      </c>
      <c r="B2" s="9">
        <v>1</v>
      </c>
      <c r="C2" s="1" t="s">
        <v>39</v>
      </c>
      <c r="D2" s="1" t="s">
        <v>2</v>
      </c>
      <c r="E2" s="1" t="s">
        <v>39</v>
      </c>
      <c r="F2" s="1" t="s">
        <v>39</v>
      </c>
      <c r="G2" s="1" t="s">
        <v>39</v>
      </c>
      <c r="H2" s="1"/>
      <c r="I2" s="1" t="s">
        <v>23</v>
      </c>
      <c r="J2" s="1">
        <v>0</v>
      </c>
      <c r="K2" s="1" t="s">
        <v>39</v>
      </c>
      <c r="L2" s="2"/>
      <c r="M2" s="1">
        <v>0</v>
      </c>
      <c r="N2" s="1"/>
      <c r="O2" s="1">
        <v>0</v>
      </c>
      <c r="P2" s="1"/>
      <c r="Q2" s="1">
        <v>1</v>
      </c>
      <c r="R2" s="1" t="s">
        <v>3</v>
      </c>
      <c r="S2" s="1"/>
      <c r="T2" s="1" t="s">
        <v>39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>Van Der Windt</v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Okolo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Nicholson</v>
      </c>
      <c r="AB2" s="1"/>
      <c r="AC2" s="1" t="s">
        <v>39</v>
      </c>
      <c r="AD2" s="1" t="s">
        <v>39</v>
      </c>
      <c r="AE2" s="1"/>
      <c r="AF2" s="1"/>
      <c r="AG2" s="1" t="s">
        <v>39</v>
      </c>
      <c r="AI2" s="18"/>
      <c r="AJ2" s="19"/>
      <c r="AK2" s="20"/>
    </row>
    <row r="3" spans="1:37" x14ac:dyDescent="0.4">
      <c r="A3" s="1" t="s">
        <v>4</v>
      </c>
      <c r="B3" s="9">
        <v>2</v>
      </c>
      <c r="C3" s="1" t="s">
        <v>39</v>
      </c>
      <c r="D3" s="1"/>
      <c r="E3" s="1" t="s">
        <v>22</v>
      </c>
      <c r="F3" s="1"/>
      <c r="G3" s="1"/>
      <c r="H3" s="1" t="s">
        <v>2</v>
      </c>
      <c r="I3" s="1"/>
      <c r="J3" s="1">
        <v>1</v>
      </c>
      <c r="K3" s="1">
        <v>1</v>
      </c>
      <c r="L3" s="2"/>
      <c r="M3" s="1">
        <v>1</v>
      </c>
      <c r="N3" s="1" t="s">
        <v>23</v>
      </c>
      <c r="O3" s="1">
        <v>1</v>
      </c>
      <c r="P3" s="1" t="s">
        <v>3</v>
      </c>
      <c r="Q3" s="1"/>
      <c r="R3" s="1"/>
      <c r="S3" s="1"/>
      <c r="T3" s="1" t="s">
        <v>39</v>
      </c>
      <c r="W3" s="1" t="str">
        <f t="shared" si="0"/>
        <v>Hill (Kirk)</v>
      </c>
      <c r="X3" s="1" t="str">
        <f t="shared" si="1"/>
        <v>Gallagher</v>
      </c>
      <c r="Y3" s="1" t="str">
        <f t="shared" si="2"/>
        <v>Yeh</v>
      </c>
      <c r="Z3" s="1" t="str">
        <f t="shared" si="3"/>
        <v/>
      </c>
      <c r="AA3" s="1" t="str">
        <f t="shared" si="4"/>
        <v>Kulkarni</v>
      </c>
      <c r="AB3" s="1"/>
      <c r="AC3" s="1" t="s">
        <v>39</v>
      </c>
      <c r="AD3" s="1" t="s">
        <v>39</v>
      </c>
      <c r="AE3" s="1" t="s">
        <v>39</v>
      </c>
      <c r="AF3" s="1"/>
      <c r="AG3" s="1" t="s">
        <v>39</v>
      </c>
      <c r="AI3" s="18"/>
      <c r="AJ3" s="21"/>
      <c r="AK3" s="20"/>
    </row>
    <row r="4" spans="1:37" x14ac:dyDescent="0.4">
      <c r="A4" s="1" t="s">
        <v>10</v>
      </c>
      <c r="B4" s="9">
        <v>3</v>
      </c>
      <c r="C4" s="1" t="s">
        <v>39</v>
      </c>
      <c r="D4" s="1"/>
      <c r="E4" s="1"/>
      <c r="F4" s="1"/>
      <c r="G4" s="1" t="s">
        <v>22</v>
      </c>
      <c r="H4" s="1"/>
      <c r="I4" s="1" t="s">
        <v>39</v>
      </c>
      <c r="J4" s="1" t="s">
        <v>23</v>
      </c>
      <c r="K4" s="1" t="s">
        <v>3</v>
      </c>
      <c r="L4" s="2" t="s">
        <v>39</v>
      </c>
      <c r="M4" s="1"/>
      <c r="N4" s="1" t="s">
        <v>39</v>
      </c>
      <c r="O4" s="1"/>
      <c r="P4" s="1" t="s">
        <v>39</v>
      </c>
      <c r="Q4" s="1"/>
      <c r="R4" s="1"/>
      <c r="S4" s="1"/>
      <c r="T4" s="1" t="s">
        <v>39</v>
      </c>
      <c r="W4" s="1" t="str">
        <f t="shared" si="0"/>
        <v/>
      </c>
      <c r="X4" s="1" t="str">
        <f t="shared" si="1"/>
        <v>Siow</v>
      </c>
      <c r="Y4" s="1" t="str">
        <f t="shared" si="2"/>
        <v>Handzel</v>
      </c>
      <c r="Z4" s="1" t="str">
        <f t="shared" si="3"/>
        <v/>
      </c>
      <c r="AA4" s="1" t="str">
        <f t="shared" si="4"/>
        <v>Tam</v>
      </c>
      <c r="AB4" s="1"/>
      <c r="AC4" s="1"/>
      <c r="AD4" s="1" t="s">
        <v>39</v>
      </c>
      <c r="AE4" s="1" t="s">
        <v>39</v>
      </c>
      <c r="AF4" s="1"/>
      <c r="AG4" s="1" t="s">
        <v>39</v>
      </c>
      <c r="AI4" s="18"/>
      <c r="AJ4" s="22"/>
      <c r="AK4" s="20"/>
    </row>
    <row r="5" spans="1:37" x14ac:dyDescent="0.4">
      <c r="A5" s="1" t="s">
        <v>5</v>
      </c>
      <c r="B5" s="9">
        <v>4</v>
      </c>
      <c r="C5" s="1"/>
      <c r="D5" s="1" t="s">
        <v>3</v>
      </c>
      <c r="E5" s="1" t="s">
        <v>39</v>
      </c>
      <c r="F5" s="1" t="s">
        <v>2</v>
      </c>
      <c r="G5" s="1" t="s">
        <v>39</v>
      </c>
      <c r="H5" s="1"/>
      <c r="I5" s="1"/>
      <c r="J5" s="1"/>
      <c r="K5" s="1" t="s">
        <v>39</v>
      </c>
      <c r="L5" s="2" t="s">
        <v>39</v>
      </c>
      <c r="M5" s="1"/>
      <c r="N5" s="1" t="s">
        <v>39</v>
      </c>
      <c r="O5" s="1"/>
      <c r="P5" s="1" t="s">
        <v>39</v>
      </c>
      <c r="Q5" s="1" t="s">
        <v>39</v>
      </c>
      <c r="R5" s="1"/>
      <c r="S5" s="1"/>
      <c r="T5" s="1" t="s">
        <v>39</v>
      </c>
      <c r="W5" s="1" t="str">
        <f t="shared" si="0"/>
        <v>Griepentrog</v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Van Der Windt</v>
      </c>
      <c r="AB5" s="1"/>
      <c r="AC5" s="1" t="s">
        <v>39</v>
      </c>
      <c r="AD5" s="1"/>
      <c r="AE5" s="1"/>
      <c r="AF5" s="1"/>
      <c r="AG5" s="1" t="s">
        <v>39</v>
      </c>
      <c r="AI5" s="18"/>
      <c r="AJ5" s="22"/>
      <c r="AK5" s="20"/>
    </row>
    <row r="6" spans="1:37" x14ac:dyDescent="0.4">
      <c r="A6" s="1" t="s">
        <v>6</v>
      </c>
      <c r="B6" s="9">
        <v>5</v>
      </c>
      <c r="C6" s="1"/>
      <c r="D6" s="1"/>
      <c r="E6" s="1" t="s">
        <v>39</v>
      </c>
      <c r="F6" s="1" t="s">
        <v>39</v>
      </c>
      <c r="G6" s="1" t="s">
        <v>39</v>
      </c>
      <c r="H6" s="1"/>
      <c r="I6" s="1"/>
      <c r="J6" s="1"/>
      <c r="K6" s="1" t="s">
        <v>39</v>
      </c>
      <c r="L6" s="2" t="s">
        <v>39</v>
      </c>
      <c r="M6" s="1"/>
      <c r="N6" s="1" t="s">
        <v>39</v>
      </c>
      <c r="O6" s="1" t="s">
        <v>3</v>
      </c>
      <c r="P6" s="1" t="s">
        <v>39</v>
      </c>
      <c r="Q6" s="1" t="s">
        <v>39</v>
      </c>
      <c r="R6" s="1"/>
      <c r="S6" s="1"/>
      <c r="T6" s="1" t="s">
        <v>39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Huckaby</v>
      </c>
      <c r="AB6" s="1"/>
      <c r="AC6" s="1"/>
      <c r="AD6" s="1"/>
      <c r="AE6" s="1"/>
      <c r="AF6" s="1"/>
      <c r="AG6" s="1" t="s">
        <v>39</v>
      </c>
      <c r="AI6" s="18"/>
      <c r="AJ6" s="19"/>
      <c r="AK6" s="20"/>
    </row>
    <row r="7" spans="1:37" x14ac:dyDescent="0.4">
      <c r="A7" s="1" t="s">
        <v>7</v>
      </c>
      <c r="B7" s="9">
        <v>6</v>
      </c>
      <c r="C7" s="1"/>
      <c r="D7" s="1"/>
      <c r="E7" s="1" t="s">
        <v>39</v>
      </c>
      <c r="F7" s="1" t="s">
        <v>39</v>
      </c>
      <c r="G7" s="1" t="s">
        <v>39</v>
      </c>
      <c r="H7" s="1" t="s">
        <v>39</v>
      </c>
      <c r="I7" s="1" t="s">
        <v>39</v>
      </c>
      <c r="J7" s="1"/>
      <c r="K7" s="1" t="s">
        <v>39</v>
      </c>
      <c r="L7" s="2" t="s">
        <v>39</v>
      </c>
      <c r="M7" s="1" t="s">
        <v>23</v>
      </c>
      <c r="N7" s="1" t="s">
        <v>39</v>
      </c>
      <c r="O7" s="1"/>
      <c r="P7" s="1" t="s">
        <v>39</v>
      </c>
      <c r="Q7" s="1" t="s">
        <v>39</v>
      </c>
      <c r="R7" s="1"/>
      <c r="S7" s="1"/>
      <c r="T7" s="1" t="s">
        <v>39</v>
      </c>
      <c r="W7" s="1" t="str">
        <f t="shared" si="0"/>
        <v/>
      </c>
      <c r="X7" s="1" t="str">
        <f t="shared" si="1"/>
        <v>Dadashzadeh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 t="s">
        <v>39</v>
      </c>
      <c r="AE7" s="1"/>
      <c r="AF7" s="1"/>
      <c r="AG7" s="1" t="s">
        <v>39</v>
      </c>
      <c r="AI7" s="18"/>
      <c r="AJ7" s="21"/>
      <c r="AK7" s="20"/>
    </row>
    <row r="8" spans="1:37" x14ac:dyDescent="0.4">
      <c r="A8" s="1" t="s">
        <v>8</v>
      </c>
      <c r="B8" s="9">
        <v>7</v>
      </c>
      <c r="C8" s="1"/>
      <c r="D8" s="1"/>
      <c r="E8" s="1" t="s">
        <v>23</v>
      </c>
      <c r="F8" s="1" t="s">
        <v>39</v>
      </c>
      <c r="G8" s="1" t="s">
        <v>39</v>
      </c>
      <c r="H8" s="1" t="s">
        <v>39</v>
      </c>
      <c r="I8" s="1" t="s">
        <v>22</v>
      </c>
      <c r="J8" s="1" t="s">
        <v>3</v>
      </c>
      <c r="K8" s="1"/>
      <c r="L8" s="2" t="s">
        <v>39</v>
      </c>
      <c r="M8" s="1"/>
      <c r="N8" s="1" t="s">
        <v>39</v>
      </c>
      <c r="O8" s="1" t="s">
        <v>39</v>
      </c>
      <c r="P8" s="1" t="s">
        <v>2</v>
      </c>
      <c r="Q8" s="1" t="s">
        <v>39</v>
      </c>
      <c r="R8" s="1" t="s">
        <v>39</v>
      </c>
      <c r="S8" s="1"/>
      <c r="T8" s="1" t="s">
        <v>39</v>
      </c>
      <c r="W8" s="1" t="str">
        <f t="shared" si="0"/>
        <v>Kulkarni</v>
      </c>
      <c r="X8" s="1" t="str">
        <f t="shared" si="1"/>
        <v>Yeh</v>
      </c>
      <c r="Y8" s="1" t="str">
        <f t="shared" si="2"/>
        <v>Okolo</v>
      </c>
      <c r="Z8" s="1" t="str">
        <f t="shared" si="3"/>
        <v/>
      </c>
      <c r="AA8" s="1" t="str">
        <f t="shared" si="4"/>
        <v>Siow</v>
      </c>
      <c r="AB8" s="1"/>
      <c r="AC8" s="1" t="s">
        <v>39</v>
      </c>
      <c r="AD8" s="1" t="s">
        <v>39</v>
      </c>
      <c r="AE8" s="1" t="s">
        <v>39</v>
      </c>
      <c r="AF8" s="1"/>
      <c r="AG8" s="1" t="s">
        <v>39</v>
      </c>
      <c r="AI8" s="18"/>
      <c r="AJ8" s="22"/>
      <c r="AK8" s="20"/>
    </row>
    <row r="9" spans="1:37" x14ac:dyDescent="0.4">
      <c r="A9" s="1" t="s">
        <v>9</v>
      </c>
      <c r="B9" s="9">
        <v>8</v>
      </c>
      <c r="C9" s="1" t="s">
        <v>39</v>
      </c>
      <c r="D9" s="1" t="s">
        <v>23</v>
      </c>
      <c r="E9" s="1"/>
      <c r="F9" s="1" t="s">
        <v>39</v>
      </c>
      <c r="G9" s="1" t="s">
        <v>39</v>
      </c>
      <c r="H9" s="1" t="s">
        <v>39</v>
      </c>
      <c r="I9" s="1"/>
      <c r="J9" s="1"/>
      <c r="K9" s="1" t="s">
        <v>39</v>
      </c>
      <c r="L9" s="2" t="s">
        <v>39</v>
      </c>
      <c r="M9" s="1"/>
      <c r="N9" s="1" t="s">
        <v>39</v>
      </c>
      <c r="O9" s="1"/>
      <c r="P9" s="1"/>
      <c r="Q9" s="1" t="s">
        <v>3</v>
      </c>
      <c r="R9" s="1"/>
      <c r="S9" s="1"/>
      <c r="T9" s="1" t="s">
        <v>39</v>
      </c>
      <c r="W9" s="1" t="str">
        <f t="shared" si="0"/>
        <v/>
      </c>
      <c r="X9" s="1" t="str">
        <f t="shared" si="1"/>
        <v>Van Der Windt</v>
      </c>
      <c r="Y9" s="1" t="str">
        <f t="shared" si="2"/>
        <v/>
      </c>
      <c r="Z9" s="1" t="str">
        <f t="shared" si="3"/>
        <v/>
      </c>
      <c r="AA9" s="1" t="str">
        <f t="shared" si="4"/>
        <v>Myers</v>
      </c>
      <c r="AB9" s="1"/>
      <c r="AC9" s="1"/>
      <c r="AD9" s="1" t="s">
        <v>39</v>
      </c>
      <c r="AE9" s="1"/>
      <c r="AF9" s="1"/>
      <c r="AG9" s="1" t="s">
        <v>39</v>
      </c>
      <c r="AI9" s="18"/>
      <c r="AJ9" s="22"/>
      <c r="AK9" s="20"/>
    </row>
    <row r="10" spans="1:37" x14ac:dyDescent="0.4">
      <c r="A10" s="1" t="s">
        <v>4</v>
      </c>
      <c r="B10" s="9">
        <v>9</v>
      </c>
      <c r="C10" s="1" t="s">
        <v>39</v>
      </c>
      <c r="D10" s="1"/>
      <c r="E10" s="1" t="s">
        <v>39</v>
      </c>
      <c r="F10" s="1" t="s">
        <v>39</v>
      </c>
      <c r="G10" s="1" t="s">
        <v>2</v>
      </c>
      <c r="H10" s="1" t="s">
        <v>39</v>
      </c>
      <c r="I10" s="1"/>
      <c r="J10" s="1"/>
      <c r="K10" s="1" t="s">
        <v>3</v>
      </c>
      <c r="L10" s="2" t="s">
        <v>39</v>
      </c>
      <c r="M10" s="1"/>
      <c r="N10" s="1" t="s">
        <v>39</v>
      </c>
      <c r="O10" s="1"/>
      <c r="P10" s="1"/>
      <c r="Q10" s="1"/>
      <c r="R10" s="1" t="s">
        <v>23</v>
      </c>
      <c r="S10" s="1"/>
      <c r="T10" s="1" t="s">
        <v>39</v>
      </c>
      <c r="W10" s="1" t="str">
        <f t="shared" si="0"/>
        <v>Handzel</v>
      </c>
      <c r="X10" s="1" t="str">
        <f t="shared" si="1"/>
        <v>Nicholson</v>
      </c>
      <c r="Y10" s="1" t="str">
        <f t="shared" si="2"/>
        <v/>
      </c>
      <c r="Z10" s="1" t="str">
        <f t="shared" si="3"/>
        <v/>
      </c>
      <c r="AA10" s="1" t="str">
        <f t="shared" si="4"/>
        <v>Tam</v>
      </c>
      <c r="AB10" s="1"/>
      <c r="AC10" s="1" t="s">
        <v>39</v>
      </c>
      <c r="AD10" s="1" t="s">
        <v>39</v>
      </c>
      <c r="AE10" s="1"/>
      <c r="AF10" s="1"/>
      <c r="AG10" s="1" t="s">
        <v>39</v>
      </c>
      <c r="AI10" s="18"/>
      <c r="AJ10" s="22"/>
      <c r="AK10" s="20"/>
    </row>
    <row r="11" spans="1:37" x14ac:dyDescent="0.4">
      <c r="A11" s="1" t="s">
        <v>10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1" t="s">
        <v>39</v>
      </c>
      <c r="I11" s="1" t="s">
        <v>23</v>
      </c>
      <c r="J11" s="1"/>
      <c r="K11" s="1"/>
      <c r="L11" s="2"/>
      <c r="M11" s="1"/>
      <c r="N11" s="1" t="s">
        <v>39</v>
      </c>
      <c r="O11" s="1" t="s">
        <v>3</v>
      </c>
      <c r="P11" s="1" t="s">
        <v>39</v>
      </c>
      <c r="Q11" s="1" t="s">
        <v>39</v>
      </c>
      <c r="R11" s="1"/>
      <c r="S11" s="1"/>
      <c r="T11" s="1" t="s">
        <v>39</v>
      </c>
      <c r="W11" s="1" t="str">
        <f t="shared" si="0"/>
        <v/>
      </c>
      <c r="X11" s="1" t="str">
        <f t="shared" si="1"/>
        <v>Okolo</v>
      </c>
      <c r="Y11" s="1" t="str">
        <f t="shared" si="2"/>
        <v/>
      </c>
      <c r="Z11" s="1" t="str">
        <f t="shared" si="3"/>
        <v/>
      </c>
      <c r="AA11" s="1" t="str">
        <f t="shared" si="4"/>
        <v>Huckaby</v>
      </c>
      <c r="AB11" s="1"/>
      <c r="AC11" s="1"/>
      <c r="AD11" s="1" t="s">
        <v>39</v>
      </c>
      <c r="AE11" s="1"/>
      <c r="AF11" s="1"/>
      <c r="AG11" s="1" t="s">
        <v>39</v>
      </c>
      <c r="AI11" s="18"/>
      <c r="AJ11" s="21"/>
      <c r="AK11" s="20"/>
    </row>
    <row r="12" spans="1:37" x14ac:dyDescent="0.4">
      <c r="A12" s="1" t="s">
        <v>5</v>
      </c>
      <c r="B12" s="9">
        <v>11</v>
      </c>
      <c r="C12" s="1"/>
      <c r="D12" s="1" t="s">
        <v>39</v>
      </c>
      <c r="E12" s="1" t="s">
        <v>39</v>
      </c>
      <c r="F12" s="1" t="s">
        <v>39</v>
      </c>
      <c r="G12" s="1"/>
      <c r="H12" s="1" t="s">
        <v>39</v>
      </c>
      <c r="I12" s="1"/>
      <c r="J12" s="1" t="s">
        <v>22</v>
      </c>
      <c r="K12" s="1" t="s">
        <v>39</v>
      </c>
      <c r="L12" s="2"/>
      <c r="M12" s="1" t="s">
        <v>2</v>
      </c>
      <c r="N12" s="1" t="s">
        <v>39</v>
      </c>
      <c r="O12" s="1"/>
      <c r="P12" s="1" t="s">
        <v>39</v>
      </c>
      <c r="Q12" s="1" t="s">
        <v>39</v>
      </c>
      <c r="R12" s="1"/>
      <c r="S12" s="1" t="s">
        <v>3</v>
      </c>
      <c r="T12" s="1" t="s">
        <v>39</v>
      </c>
      <c r="W12" s="1" t="str">
        <f t="shared" si="0"/>
        <v>Dadashzadeh</v>
      </c>
      <c r="X12" s="1" t="str">
        <f t="shared" si="1"/>
        <v/>
      </c>
      <c r="Y12" s="1" t="str">
        <f t="shared" si="2"/>
        <v>Siow</v>
      </c>
      <c r="Z12" s="1" t="str">
        <f t="shared" si="3"/>
        <v/>
      </c>
      <c r="AA12" s="1" t="str">
        <f t="shared" si="4"/>
        <v>Yecies</v>
      </c>
      <c r="AB12" s="1"/>
      <c r="AC12" s="1" t="s">
        <v>39</v>
      </c>
      <c r="AD12" s="1"/>
      <c r="AE12" s="1" t="s">
        <v>39</v>
      </c>
      <c r="AF12" s="1"/>
      <c r="AG12" s="1" t="s">
        <v>39</v>
      </c>
      <c r="AI12" s="18"/>
      <c r="AJ12" s="22"/>
      <c r="AK12" s="20"/>
    </row>
    <row r="13" spans="1:37" x14ac:dyDescent="0.4">
      <c r="A13" s="1" t="s">
        <v>6</v>
      </c>
      <c r="B13" s="9">
        <v>12</v>
      </c>
      <c r="C13" s="1"/>
      <c r="D13" s="1" t="s">
        <v>39</v>
      </c>
      <c r="E13" s="1" t="s">
        <v>39</v>
      </c>
      <c r="F13" s="1" t="s">
        <v>39</v>
      </c>
      <c r="G13" s="1"/>
      <c r="H13" s="1" t="s">
        <v>39</v>
      </c>
      <c r="I13" s="1"/>
      <c r="J13" s="1"/>
      <c r="K13" s="1" t="s">
        <v>39</v>
      </c>
      <c r="L13" s="2" t="s">
        <v>2</v>
      </c>
      <c r="M13" s="1"/>
      <c r="N13" s="1" t="s">
        <v>39</v>
      </c>
      <c r="O13" s="1"/>
      <c r="P13" s="1" t="s">
        <v>39</v>
      </c>
      <c r="Q13" s="1" t="s">
        <v>39</v>
      </c>
      <c r="R13" s="1" t="s">
        <v>3</v>
      </c>
      <c r="S13" s="1" t="s">
        <v>39</v>
      </c>
      <c r="T13" s="1" t="s">
        <v>39</v>
      </c>
      <c r="W13" s="1" t="str">
        <f t="shared" si="0"/>
        <v>Cyr</v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Nicholson</v>
      </c>
      <c r="AB13" s="1"/>
      <c r="AC13" s="1" t="s">
        <v>39</v>
      </c>
      <c r="AD13" s="1"/>
      <c r="AE13" s="1"/>
      <c r="AF13" s="1"/>
      <c r="AG13" s="1" t="s">
        <v>39</v>
      </c>
      <c r="AI13" s="18"/>
      <c r="AJ13" s="22"/>
      <c r="AK13" s="20"/>
    </row>
    <row r="14" spans="1:37" x14ac:dyDescent="0.4">
      <c r="A14" s="1" t="s">
        <v>7</v>
      </c>
      <c r="B14" s="9">
        <v>13</v>
      </c>
      <c r="C14" s="1"/>
      <c r="D14" s="1"/>
      <c r="E14" s="1" t="s">
        <v>39</v>
      </c>
      <c r="F14" s="1" t="s">
        <v>39</v>
      </c>
      <c r="G14" s="1" t="s">
        <v>39</v>
      </c>
      <c r="H14" s="1" t="s">
        <v>39</v>
      </c>
      <c r="I14" s="1" t="s">
        <v>39</v>
      </c>
      <c r="J14" s="1"/>
      <c r="K14" s="1" t="s">
        <v>39</v>
      </c>
      <c r="L14" s="2"/>
      <c r="M14" s="1"/>
      <c r="N14" s="1" t="s">
        <v>39</v>
      </c>
      <c r="O14" s="1"/>
      <c r="P14" s="1" t="s">
        <v>39</v>
      </c>
      <c r="Q14" s="1" t="s">
        <v>23</v>
      </c>
      <c r="R14" s="1"/>
      <c r="S14" s="1" t="s">
        <v>39</v>
      </c>
      <c r="T14" s="1" t="s">
        <v>39</v>
      </c>
      <c r="W14" s="1" t="str">
        <f t="shared" si="0"/>
        <v/>
      </c>
      <c r="X14" s="1" t="str">
        <f t="shared" si="1"/>
        <v>Myers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/>
      <c r="AD14" s="1" t="s">
        <v>39</v>
      </c>
      <c r="AE14" s="1"/>
      <c r="AF14" s="1"/>
      <c r="AG14" s="1" t="s">
        <v>39</v>
      </c>
      <c r="AI14" s="22"/>
      <c r="AJ14" s="19"/>
      <c r="AK14" s="20"/>
    </row>
    <row r="15" spans="1:37" x14ac:dyDescent="0.4">
      <c r="A15" s="1" t="s">
        <v>8</v>
      </c>
      <c r="B15" s="9">
        <v>14</v>
      </c>
      <c r="C15" s="1" t="s">
        <v>22</v>
      </c>
      <c r="D15" s="1" t="s">
        <v>3</v>
      </c>
      <c r="E15" s="1" t="s">
        <v>39</v>
      </c>
      <c r="F15" s="1" t="s">
        <v>39</v>
      </c>
      <c r="G15" s="1" t="s">
        <v>39</v>
      </c>
      <c r="H15" s="1" t="s">
        <v>39</v>
      </c>
      <c r="I15" s="1"/>
      <c r="J15" s="1"/>
      <c r="K15" s="1"/>
      <c r="L15" s="2"/>
      <c r="M15" s="1"/>
      <c r="N15" s="1" t="s">
        <v>39</v>
      </c>
      <c r="O15" s="1" t="s">
        <v>39</v>
      </c>
      <c r="P15" s="1" t="s">
        <v>23</v>
      </c>
      <c r="Q15" s="1"/>
      <c r="R15" s="1"/>
      <c r="S15" s="1"/>
      <c r="T15" s="1" t="s">
        <v>39</v>
      </c>
      <c r="W15" s="1" t="str">
        <f t="shared" si="0"/>
        <v/>
      </c>
      <c r="X15" s="1" t="str">
        <f t="shared" si="1"/>
        <v>Kulkarni</v>
      </c>
      <c r="Y15" s="1" t="str">
        <f t="shared" si="2"/>
        <v>Dyer</v>
      </c>
      <c r="Z15" s="1" t="str">
        <f t="shared" si="3"/>
        <v/>
      </c>
      <c r="AA15" s="1" t="str">
        <f t="shared" si="4"/>
        <v>Van Der Windt</v>
      </c>
      <c r="AB15" s="1"/>
      <c r="AC15" s="1"/>
      <c r="AD15" s="1" t="s">
        <v>39</v>
      </c>
      <c r="AE15" s="1" t="s">
        <v>39</v>
      </c>
      <c r="AF15" s="1"/>
      <c r="AG15" s="1" t="s">
        <v>39</v>
      </c>
      <c r="AI15" s="18"/>
      <c r="AJ15" s="22"/>
      <c r="AK15" s="20"/>
    </row>
    <row r="16" spans="1:37" x14ac:dyDescent="0.4">
      <c r="A16" s="1" t="s">
        <v>9</v>
      </c>
      <c r="B16" s="9">
        <v>15</v>
      </c>
      <c r="C16" s="1" t="s">
        <v>39</v>
      </c>
      <c r="D16" s="1" t="s">
        <v>39</v>
      </c>
      <c r="E16" s="1" t="s">
        <v>39</v>
      </c>
      <c r="F16" s="1" t="s">
        <v>39</v>
      </c>
      <c r="G16" s="1"/>
      <c r="H16" s="1" t="s">
        <v>39</v>
      </c>
      <c r="I16" s="1" t="s">
        <v>3</v>
      </c>
      <c r="J16" s="1"/>
      <c r="K16" s="1" t="s">
        <v>21</v>
      </c>
      <c r="L16" s="2"/>
      <c r="M16" s="1"/>
      <c r="N16" s="1" t="s">
        <v>39</v>
      </c>
      <c r="O16" s="1"/>
      <c r="P16" s="1"/>
      <c r="Q16" s="1"/>
      <c r="R16" s="1" t="s">
        <v>23</v>
      </c>
      <c r="S16" s="1"/>
      <c r="T16" s="1" t="s">
        <v>39</v>
      </c>
      <c r="V16" s="25"/>
      <c r="W16" s="1" t="str">
        <f t="shared" si="0"/>
        <v/>
      </c>
      <c r="X16" s="1" t="str">
        <f t="shared" si="1"/>
        <v>Nicholson</v>
      </c>
      <c r="Y16" s="1" t="str">
        <f t="shared" si="2"/>
        <v/>
      </c>
      <c r="Z16" s="1" t="str">
        <f t="shared" si="3"/>
        <v>Tam</v>
      </c>
      <c r="AA16" s="1" t="str">
        <f t="shared" si="4"/>
        <v>Okolo</v>
      </c>
      <c r="AB16" s="1"/>
      <c r="AC16" s="1"/>
      <c r="AD16" s="1" t="s">
        <v>39</v>
      </c>
      <c r="AE16" s="1"/>
      <c r="AF16" s="1" t="s">
        <v>39</v>
      </c>
      <c r="AG16" s="1" t="s">
        <v>39</v>
      </c>
      <c r="AI16" s="18"/>
      <c r="AJ16" s="21"/>
      <c r="AK16" s="20"/>
    </row>
    <row r="17" spans="1:37" x14ac:dyDescent="0.4">
      <c r="A17" s="1" t="s">
        <v>4</v>
      </c>
      <c r="B17" s="9">
        <v>16</v>
      </c>
      <c r="C17" s="1"/>
      <c r="D17" s="1"/>
      <c r="E17" s="1" t="s">
        <v>39</v>
      </c>
      <c r="F17" s="1" t="s">
        <v>39</v>
      </c>
      <c r="G17" s="1" t="s">
        <v>3</v>
      </c>
      <c r="H17" s="1" t="s">
        <v>39</v>
      </c>
      <c r="I17" s="1"/>
      <c r="J17" s="1" t="s">
        <v>2</v>
      </c>
      <c r="K17" s="1"/>
      <c r="L17" s="2" t="s">
        <v>23</v>
      </c>
      <c r="M17" s="1"/>
      <c r="N17" s="1" t="s">
        <v>39</v>
      </c>
      <c r="O17" s="1"/>
      <c r="P17" s="1"/>
      <c r="Q17" s="1"/>
      <c r="R17" s="1"/>
      <c r="S17" s="1"/>
      <c r="T17" s="1" t="s">
        <v>39</v>
      </c>
      <c r="W17" s="1" t="str">
        <f t="shared" si="0"/>
        <v>Siow</v>
      </c>
      <c r="X17" s="1" t="str">
        <f t="shared" si="1"/>
        <v>Cyr</v>
      </c>
      <c r="Y17" s="1" t="str">
        <f t="shared" si="2"/>
        <v/>
      </c>
      <c r="Z17" s="1" t="str">
        <f t="shared" si="3"/>
        <v/>
      </c>
      <c r="AA17" s="1" t="str">
        <f t="shared" si="4"/>
        <v>Handzel</v>
      </c>
      <c r="AB17" s="1"/>
      <c r="AC17" s="1" t="s">
        <v>39</v>
      </c>
      <c r="AD17" s="1" t="s">
        <v>39</v>
      </c>
      <c r="AE17" s="1"/>
      <c r="AF17" s="1"/>
      <c r="AG17" s="1" t="s">
        <v>39</v>
      </c>
      <c r="AI17" s="18"/>
      <c r="AJ17" s="19"/>
      <c r="AK17" s="20"/>
    </row>
    <row r="18" spans="1:37" x14ac:dyDescent="0.4">
      <c r="A18" s="1" t="s">
        <v>10</v>
      </c>
      <c r="B18" s="9">
        <v>17</v>
      </c>
      <c r="C18" s="1"/>
      <c r="D18" s="1"/>
      <c r="E18" s="1" t="s">
        <v>39</v>
      </c>
      <c r="F18" s="1" t="s">
        <v>23</v>
      </c>
      <c r="G18" s="1" t="s">
        <v>39</v>
      </c>
      <c r="H18" s="1" t="s">
        <v>39</v>
      </c>
      <c r="I18" s="1"/>
      <c r="J18" s="1"/>
      <c r="K18" s="1" t="s">
        <v>39</v>
      </c>
      <c r="L18" s="2"/>
      <c r="M18" s="1" t="s">
        <v>2</v>
      </c>
      <c r="N18" s="1" t="s">
        <v>39</v>
      </c>
      <c r="O18" s="1" t="s">
        <v>3</v>
      </c>
      <c r="P18" s="1"/>
      <c r="Q18" s="1"/>
      <c r="R18" s="1"/>
      <c r="S18" s="1"/>
      <c r="T18" s="1" t="s">
        <v>39</v>
      </c>
      <c r="W18" s="1" t="str">
        <f t="shared" si="0"/>
        <v>Dadashzadeh</v>
      </c>
      <c r="X18" s="1" t="str">
        <f t="shared" si="1"/>
        <v>Griepentrog</v>
      </c>
      <c r="Y18" s="1" t="str">
        <f t="shared" si="2"/>
        <v/>
      </c>
      <c r="Z18" s="1" t="str">
        <f t="shared" si="3"/>
        <v/>
      </c>
      <c r="AA18" s="1" t="str">
        <f t="shared" si="4"/>
        <v>Huckaby</v>
      </c>
      <c r="AB18" s="1"/>
      <c r="AC18" s="1" t="s">
        <v>39</v>
      </c>
      <c r="AD18" s="1" t="s">
        <v>39</v>
      </c>
      <c r="AE18" s="1"/>
      <c r="AF18" s="1"/>
      <c r="AG18" s="1" t="s">
        <v>39</v>
      </c>
      <c r="AI18" s="18"/>
      <c r="AJ18" s="22"/>
      <c r="AK18" s="20"/>
    </row>
    <row r="19" spans="1:37" x14ac:dyDescent="0.4">
      <c r="A19" s="1" t="s">
        <v>5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 t="s">
        <v>39</v>
      </c>
      <c r="I19" s="1" t="s">
        <v>21</v>
      </c>
      <c r="J19" s="1" t="s">
        <v>3</v>
      </c>
      <c r="K19" s="1" t="s">
        <v>39</v>
      </c>
      <c r="L19" s="2" t="s">
        <v>39</v>
      </c>
      <c r="M19" s="1"/>
      <c r="N19" s="1" t="s">
        <v>39</v>
      </c>
      <c r="O19" s="1"/>
      <c r="P19" s="1" t="s">
        <v>39</v>
      </c>
      <c r="Q19" s="1" t="s">
        <v>2</v>
      </c>
      <c r="R19" s="1"/>
      <c r="S19" s="1"/>
      <c r="T19" s="1" t="s">
        <v>39</v>
      </c>
      <c r="W19" s="1" t="str">
        <f t="shared" si="0"/>
        <v>Myers</v>
      </c>
      <c r="X19" s="1" t="str">
        <f t="shared" si="1"/>
        <v/>
      </c>
      <c r="Y19" s="1" t="str">
        <f t="shared" si="2"/>
        <v>NEEDS COVERAGE</v>
      </c>
      <c r="Z19" s="1" t="str">
        <f t="shared" si="3"/>
        <v>Okolo</v>
      </c>
      <c r="AA19" s="1" t="str">
        <f t="shared" si="4"/>
        <v>Siow</v>
      </c>
      <c r="AB19" s="1"/>
      <c r="AC19" s="1" t="s">
        <v>39</v>
      </c>
      <c r="AD19" s="1"/>
      <c r="AE19" s="1" t="s">
        <v>39</v>
      </c>
      <c r="AF19" s="1" t="s">
        <v>39</v>
      </c>
      <c r="AG19" s="1" t="s">
        <v>39</v>
      </c>
      <c r="AI19" s="18"/>
      <c r="AJ19" s="19"/>
      <c r="AK19" s="20"/>
    </row>
    <row r="20" spans="1:37" x14ac:dyDescent="0.4">
      <c r="A20" s="1" t="s">
        <v>6</v>
      </c>
      <c r="B20" s="9">
        <v>19</v>
      </c>
      <c r="C20" s="1"/>
      <c r="D20" s="1"/>
      <c r="E20" s="1" t="s">
        <v>39</v>
      </c>
      <c r="F20" s="1" t="s">
        <v>39</v>
      </c>
      <c r="G20" s="1" t="s">
        <v>39</v>
      </c>
      <c r="H20" s="1" t="s">
        <v>39</v>
      </c>
      <c r="I20" s="1"/>
      <c r="J20" s="1"/>
      <c r="K20" s="1" t="s">
        <v>39</v>
      </c>
      <c r="L20" s="2" t="s">
        <v>39</v>
      </c>
      <c r="M20" s="1"/>
      <c r="N20" s="1" t="s">
        <v>39</v>
      </c>
      <c r="O20" s="1"/>
      <c r="P20" s="1" t="s">
        <v>39</v>
      </c>
      <c r="Q20" s="1"/>
      <c r="R20" s="1" t="s">
        <v>3</v>
      </c>
      <c r="S20" s="1"/>
      <c r="T20" s="1" t="s">
        <v>39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Nicholson</v>
      </c>
      <c r="AB20" s="1"/>
      <c r="AC20" s="1"/>
      <c r="AD20" s="1"/>
      <c r="AE20" s="1"/>
      <c r="AF20" s="1"/>
      <c r="AG20" s="1" t="s">
        <v>39</v>
      </c>
      <c r="AI20" s="18"/>
      <c r="AJ20" s="19"/>
      <c r="AK20" s="20"/>
    </row>
    <row r="21" spans="1:37" x14ac:dyDescent="0.4">
      <c r="A21" s="1" t="s">
        <v>7</v>
      </c>
      <c r="B21" s="9">
        <v>20</v>
      </c>
      <c r="C21" s="1" t="s">
        <v>23</v>
      </c>
      <c r="D21" s="1" t="s">
        <v>21</v>
      </c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1"/>
      <c r="K21" s="1" t="s">
        <v>39</v>
      </c>
      <c r="L21" s="2" t="s">
        <v>39</v>
      </c>
      <c r="M21" s="1"/>
      <c r="N21" s="1" t="s">
        <v>39</v>
      </c>
      <c r="O21" s="1"/>
      <c r="P21" s="1" t="s">
        <v>39</v>
      </c>
      <c r="Q21" s="1"/>
      <c r="R21" s="1"/>
      <c r="S21" s="1"/>
      <c r="T21" s="1" t="s">
        <v>39</v>
      </c>
      <c r="W21" s="1" t="str">
        <f t="shared" si="0"/>
        <v/>
      </c>
      <c r="X21" s="1" t="str">
        <f t="shared" si="1"/>
        <v>Dyer</v>
      </c>
      <c r="Y21" s="1" t="str">
        <f t="shared" si="2"/>
        <v/>
      </c>
      <c r="Z21" s="1" t="str">
        <f t="shared" si="3"/>
        <v>Van Der Windt</v>
      </c>
      <c r="AA21" s="1" t="str">
        <f t="shared" si="4"/>
        <v>NEEDS COVERAGE</v>
      </c>
      <c r="AB21" s="1"/>
      <c r="AC21" s="1"/>
      <c r="AD21" s="1" t="s">
        <v>39</v>
      </c>
      <c r="AE21" s="1"/>
      <c r="AF21" s="1" t="s">
        <v>39</v>
      </c>
      <c r="AG21" s="1" t="s">
        <v>39</v>
      </c>
      <c r="AI21" s="22"/>
      <c r="AJ21" s="28"/>
      <c r="AK21" s="20"/>
    </row>
    <row r="22" spans="1:37" x14ac:dyDescent="0.4">
      <c r="A22" s="1" t="s">
        <v>8</v>
      </c>
      <c r="B22" s="9">
        <v>21</v>
      </c>
      <c r="C22" s="1"/>
      <c r="D22" s="1"/>
      <c r="E22" s="1" t="s">
        <v>39</v>
      </c>
      <c r="F22" s="1"/>
      <c r="G22" s="1" t="s">
        <v>39</v>
      </c>
      <c r="H22" s="1" t="s">
        <v>39</v>
      </c>
      <c r="I22" s="1"/>
      <c r="J22" s="1"/>
      <c r="K22" s="1" t="s">
        <v>39</v>
      </c>
      <c r="L22" s="2" t="s">
        <v>39</v>
      </c>
      <c r="M22" s="1"/>
      <c r="N22" s="1" t="s">
        <v>3</v>
      </c>
      <c r="O22" s="1" t="s">
        <v>39</v>
      </c>
      <c r="P22" s="1"/>
      <c r="Q22" s="1" t="s">
        <v>23</v>
      </c>
      <c r="R22" s="1" t="s">
        <v>2</v>
      </c>
      <c r="S22" s="1"/>
      <c r="T22" s="1" t="s">
        <v>39</v>
      </c>
      <c r="W22" s="1" t="str">
        <f t="shared" si="0"/>
        <v>Nicholson</v>
      </c>
      <c r="X22" s="1" t="str">
        <f t="shared" si="1"/>
        <v>Myers</v>
      </c>
      <c r="Y22" s="1" t="str">
        <f t="shared" si="2"/>
        <v/>
      </c>
      <c r="Z22" s="1" t="str">
        <f t="shared" si="3"/>
        <v/>
      </c>
      <c r="AA22" s="1" t="str">
        <f t="shared" si="4"/>
        <v>Gallagher</v>
      </c>
      <c r="AB22" s="1"/>
      <c r="AC22" s="1" t="s">
        <v>39</v>
      </c>
      <c r="AD22" s="1" t="s">
        <v>39</v>
      </c>
      <c r="AE22" s="1"/>
      <c r="AF22" s="1"/>
      <c r="AG22" s="1" t="s">
        <v>39</v>
      </c>
      <c r="AI22" s="18"/>
      <c r="AJ22" s="28"/>
      <c r="AK22" s="20"/>
    </row>
    <row r="23" spans="1:37" x14ac:dyDescent="0.4">
      <c r="A23" s="1" t="s">
        <v>9</v>
      </c>
      <c r="B23" s="9">
        <v>22</v>
      </c>
      <c r="C23" s="1"/>
      <c r="D23" s="1"/>
      <c r="E23" s="1" t="s">
        <v>2</v>
      </c>
      <c r="F23" s="1"/>
      <c r="G23" s="1"/>
      <c r="H23" s="1" t="s">
        <v>39</v>
      </c>
      <c r="I23" s="1"/>
      <c r="J23" s="1"/>
      <c r="K23" s="1" t="s">
        <v>39</v>
      </c>
      <c r="L23" s="2" t="s">
        <v>39</v>
      </c>
      <c r="M23" s="1" t="s">
        <v>3</v>
      </c>
      <c r="N23" s="1"/>
      <c r="O23" s="1" t="s">
        <v>23</v>
      </c>
      <c r="P23" s="1"/>
      <c r="Q23" s="1"/>
      <c r="R23" s="1" t="s">
        <v>39</v>
      </c>
      <c r="S23" s="1"/>
      <c r="T23" s="1" t="s">
        <v>39</v>
      </c>
      <c r="W23" s="1" t="str">
        <f t="shared" si="0"/>
        <v>Yeh</v>
      </c>
      <c r="X23" s="1" t="str">
        <f t="shared" si="1"/>
        <v>Huckaby</v>
      </c>
      <c r="Y23" s="1" t="str">
        <f t="shared" si="2"/>
        <v/>
      </c>
      <c r="Z23" s="1" t="str">
        <f t="shared" si="3"/>
        <v/>
      </c>
      <c r="AA23" s="1" t="str">
        <f t="shared" si="4"/>
        <v>Dadashzadeh</v>
      </c>
      <c r="AB23" s="1"/>
      <c r="AC23" s="1" t="s">
        <v>39</v>
      </c>
      <c r="AD23" s="1" t="s">
        <v>39</v>
      </c>
      <c r="AE23" s="1"/>
      <c r="AF23" s="1"/>
      <c r="AG23" s="1" t="s">
        <v>39</v>
      </c>
      <c r="AI23" s="18"/>
      <c r="AJ23" s="28"/>
      <c r="AK23" s="20"/>
    </row>
    <row r="24" spans="1:37" x14ac:dyDescent="0.4">
      <c r="A24" s="1" t="s">
        <v>4</v>
      </c>
      <c r="B24" s="9">
        <v>23</v>
      </c>
      <c r="C24" s="1"/>
      <c r="D24" s="1"/>
      <c r="E24" s="1"/>
      <c r="F24" s="1"/>
      <c r="G24" s="1" t="s">
        <v>23</v>
      </c>
      <c r="H24" s="1" t="s">
        <v>39</v>
      </c>
      <c r="I24" s="1"/>
      <c r="J24" s="1"/>
      <c r="K24" s="1"/>
      <c r="L24" s="2"/>
      <c r="M24" s="1" t="s">
        <v>39</v>
      </c>
      <c r="N24" s="1" t="s">
        <v>2</v>
      </c>
      <c r="O24" s="1"/>
      <c r="P24" s="1"/>
      <c r="Q24" s="1" t="s">
        <v>3</v>
      </c>
      <c r="R24" s="1"/>
      <c r="S24" s="1"/>
      <c r="T24" s="1" t="s">
        <v>39</v>
      </c>
      <c r="W24" s="1" t="str">
        <f t="shared" si="0"/>
        <v>Gallagher</v>
      </c>
      <c r="X24" s="1" t="str">
        <f t="shared" si="1"/>
        <v>Handzel</v>
      </c>
      <c r="Y24" s="1" t="str">
        <f t="shared" si="2"/>
        <v/>
      </c>
      <c r="Z24" s="1" t="str">
        <f t="shared" si="3"/>
        <v/>
      </c>
      <c r="AA24" s="1" t="str">
        <f t="shared" si="4"/>
        <v>Myers</v>
      </c>
      <c r="AB24" s="1"/>
      <c r="AC24" s="1" t="s">
        <v>39</v>
      </c>
      <c r="AD24" s="1" t="s">
        <v>39</v>
      </c>
      <c r="AE24" s="1"/>
      <c r="AF24" s="1"/>
      <c r="AG24" s="1" t="s">
        <v>39</v>
      </c>
      <c r="AI24" s="18"/>
      <c r="AJ24" s="28"/>
      <c r="AK24" s="20"/>
    </row>
    <row r="25" spans="1:37" x14ac:dyDescent="0.4">
      <c r="A25" s="1" t="s">
        <v>10</v>
      </c>
      <c r="B25" s="9">
        <v>24</v>
      </c>
      <c r="C25" s="1" t="s">
        <v>39</v>
      </c>
      <c r="D25" s="1"/>
      <c r="E25" s="1"/>
      <c r="F25" s="1"/>
      <c r="G25" s="1"/>
      <c r="H25" s="1" t="s">
        <v>39</v>
      </c>
      <c r="I25" s="1" t="s">
        <v>3</v>
      </c>
      <c r="J25" s="1"/>
      <c r="K25" s="1" t="s">
        <v>39</v>
      </c>
      <c r="L25" s="2" t="s">
        <v>23</v>
      </c>
      <c r="M25" s="1" t="s">
        <v>39</v>
      </c>
      <c r="N25" s="1"/>
      <c r="O25" s="1"/>
      <c r="P25" s="1" t="s">
        <v>39</v>
      </c>
      <c r="Q25" s="1" t="s">
        <v>39</v>
      </c>
      <c r="R25" s="1" t="s">
        <v>39</v>
      </c>
      <c r="S25" s="1"/>
      <c r="T25" s="1" t="s">
        <v>39</v>
      </c>
      <c r="W25" s="1" t="str">
        <f t="shared" si="0"/>
        <v/>
      </c>
      <c r="X25" s="1" t="str">
        <f t="shared" si="1"/>
        <v>Cyr</v>
      </c>
      <c r="Y25" s="1" t="str">
        <f t="shared" si="2"/>
        <v/>
      </c>
      <c r="Z25" s="1" t="str">
        <f t="shared" si="3"/>
        <v/>
      </c>
      <c r="AA25" s="1" t="str">
        <f t="shared" si="4"/>
        <v>Okolo</v>
      </c>
      <c r="AB25" s="1"/>
      <c r="AC25" s="1"/>
      <c r="AD25" s="1" t="s">
        <v>39</v>
      </c>
      <c r="AE25" s="1"/>
      <c r="AF25" s="1"/>
      <c r="AG25" s="1" t="s">
        <v>39</v>
      </c>
      <c r="AI25" s="18"/>
      <c r="AJ25" s="28"/>
      <c r="AK25" s="20"/>
    </row>
    <row r="26" spans="1:37" x14ac:dyDescent="0.4">
      <c r="A26" s="1" t="s">
        <v>5</v>
      </c>
      <c r="B26" s="9">
        <v>25</v>
      </c>
      <c r="C26" s="1" t="s">
        <v>39</v>
      </c>
      <c r="D26" s="1"/>
      <c r="E26" s="1" t="s">
        <v>39</v>
      </c>
      <c r="F26" s="1" t="s">
        <v>3</v>
      </c>
      <c r="G26" s="1"/>
      <c r="H26" s="1" t="s">
        <v>39</v>
      </c>
      <c r="I26" s="1" t="s">
        <v>39</v>
      </c>
      <c r="J26" s="1" t="s">
        <v>22</v>
      </c>
      <c r="K26" s="1" t="s">
        <v>2</v>
      </c>
      <c r="L26" s="2" t="s">
        <v>39</v>
      </c>
      <c r="M26" s="1" t="s">
        <v>39</v>
      </c>
      <c r="N26" s="1"/>
      <c r="O26" s="1" t="s">
        <v>39</v>
      </c>
      <c r="P26" s="1" t="s">
        <v>39</v>
      </c>
      <c r="Q26" s="1" t="s">
        <v>39</v>
      </c>
      <c r="R26" s="1" t="s">
        <v>39</v>
      </c>
      <c r="S26" s="1"/>
      <c r="T26" s="1" t="s">
        <v>39</v>
      </c>
      <c r="W26" s="1" t="str">
        <f t="shared" si="0"/>
        <v>Tam</v>
      </c>
      <c r="X26" s="1" t="str">
        <f t="shared" si="1"/>
        <v/>
      </c>
      <c r="Y26" s="1" t="str">
        <f t="shared" si="2"/>
        <v>Siow</v>
      </c>
      <c r="Z26" s="1" t="str">
        <f t="shared" si="3"/>
        <v/>
      </c>
      <c r="AA26" s="1" t="str">
        <f t="shared" si="4"/>
        <v>Griepentrog</v>
      </c>
      <c r="AB26" s="1"/>
      <c r="AC26" s="1" t="s">
        <v>39</v>
      </c>
      <c r="AD26" s="1"/>
      <c r="AE26" s="1" t="s">
        <v>39</v>
      </c>
      <c r="AF26" s="1"/>
      <c r="AG26" s="1" t="s">
        <v>39</v>
      </c>
      <c r="AI26" s="18"/>
      <c r="AJ26" s="28"/>
      <c r="AK26" s="20"/>
    </row>
    <row r="27" spans="1:37" x14ac:dyDescent="0.4">
      <c r="A27" s="1" t="s">
        <v>6</v>
      </c>
      <c r="B27" s="9">
        <v>26</v>
      </c>
      <c r="C27" s="1" t="s">
        <v>39</v>
      </c>
      <c r="D27" s="1"/>
      <c r="E27" s="1" t="s">
        <v>39</v>
      </c>
      <c r="F27" s="1"/>
      <c r="G27" s="1"/>
      <c r="H27" s="1" t="s">
        <v>39</v>
      </c>
      <c r="I27" s="1" t="s">
        <v>39</v>
      </c>
      <c r="J27" s="1" t="s">
        <v>39</v>
      </c>
      <c r="K27" s="1"/>
      <c r="L27" s="2" t="s">
        <v>39</v>
      </c>
      <c r="M27" s="1" t="s">
        <v>39</v>
      </c>
      <c r="N27" s="1" t="s">
        <v>3</v>
      </c>
      <c r="O27" s="1" t="s">
        <v>39</v>
      </c>
      <c r="P27" s="1" t="s">
        <v>39</v>
      </c>
      <c r="Q27" s="1" t="s">
        <v>39</v>
      </c>
      <c r="R27" s="1" t="s">
        <v>39</v>
      </c>
      <c r="S27" s="1"/>
      <c r="T27" s="1" t="s">
        <v>39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Gallagher</v>
      </c>
      <c r="AB27" s="1"/>
      <c r="AC27" s="1"/>
      <c r="AD27" s="1"/>
      <c r="AE27" s="1"/>
      <c r="AF27" s="1"/>
      <c r="AG27" s="1" t="s">
        <v>39</v>
      </c>
      <c r="AI27" s="18"/>
      <c r="AJ27" s="28"/>
      <c r="AK27" s="20"/>
    </row>
    <row r="28" spans="1:37" x14ac:dyDescent="0.4">
      <c r="A28" s="1" t="s">
        <v>7</v>
      </c>
      <c r="B28" s="9">
        <v>27</v>
      </c>
      <c r="C28" s="1" t="s">
        <v>39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39</v>
      </c>
      <c r="K28" s="1" t="s">
        <v>23</v>
      </c>
      <c r="L28" s="2"/>
      <c r="M28" s="1"/>
      <c r="N28" s="1"/>
      <c r="O28" s="1" t="s">
        <v>39</v>
      </c>
      <c r="P28" s="1" t="s">
        <v>39</v>
      </c>
      <c r="Q28" s="1" t="s">
        <v>39</v>
      </c>
      <c r="R28" s="1" t="s">
        <v>39</v>
      </c>
      <c r="S28" s="1"/>
      <c r="T28" s="1" t="s">
        <v>39</v>
      </c>
      <c r="W28" s="1" t="str">
        <f t="shared" si="0"/>
        <v/>
      </c>
      <c r="X28" s="1" t="str">
        <f t="shared" si="1"/>
        <v>Tam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39</v>
      </c>
      <c r="AE28" s="1"/>
      <c r="AF28" s="1"/>
      <c r="AG28" s="1" t="s">
        <v>39</v>
      </c>
      <c r="AI28" s="18"/>
      <c r="AJ28" s="28"/>
      <c r="AK28" s="20"/>
    </row>
    <row r="29" spans="1:37" x14ac:dyDescent="0.4">
      <c r="A29" s="1" t="s">
        <v>8</v>
      </c>
      <c r="B29" s="9">
        <v>28</v>
      </c>
      <c r="C29" s="1" t="s">
        <v>2</v>
      </c>
      <c r="D29" s="1"/>
      <c r="E29" s="1" t="s">
        <v>39</v>
      </c>
      <c r="F29" s="1"/>
      <c r="G29" s="1"/>
      <c r="H29" s="1" t="s">
        <v>3</v>
      </c>
      <c r="I29" s="1"/>
      <c r="J29" s="1"/>
      <c r="K29" s="1"/>
      <c r="L29" s="2"/>
      <c r="M29" s="1" t="s">
        <v>23</v>
      </c>
      <c r="N29" s="1" t="s">
        <v>39</v>
      </c>
      <c r="O29" s="1" t="s">
        <v>39</v>
      </c>
      <c r="P29" s="1"/>
      <c r="Q29" s="1" t="s">
        <v>39</v>
      </c>
      <c r="R29" s="1" t="s">
        <v>39</v>
      </c>
      <c r="S29" s="1"/>
      <c r="T29" s="1" t="s">
        <v>39</v>
      </c>
      <c r="W29" s="1" t="str">
        <f t="shared" si="0"/>
        <v>Dyer</v>
      </c>
      <c r="X29" s="1" t="str">
        <f t="shared" si="1"/>
        <v>Dadashzadeh</v>
      </c>
      <c r="Y29" s="1" t="str">
        <f t="shared" si="2"/>
        <v/>
      </c>
      <c r="Z29" s="1" t="str">
        <f t="shared" si="3"/>
        <v/>
      </c>
      <c r="AA29" s="1" t="str">
        <f t="shared" si="4"/>
        <v>Hill (Kirk)</v>
      </c>
      <c r="AB29" s="1"/>
      <c r="AC29" s="1" t="s">
        <v>39</v>
      </c>
      <c r="AD29" s="1" t="s">
        <v>39</v>
      </c>
      <c r="AE29" s="1"/>
      <c r="AF29" s="1"/>
      <c r="AG29" s="1" t="s">
        <v>39</v>
      </c>
      <c r="AI29" s="18"/>
      <c r="AJ29" s="28"/>
      <c r="AK29" s="20"/>
    </row>
    <row r="30" spans="1:37" x14ac:dyDescent="0.4">
      <c r="A30" s="1" t="s">
        <v>9</v>
      </c>
      <c r="B30" s="9">
        <v>29</v>
      </c>
      <c r="C30" s="1"/>
      <c r="D30" s="1"/>
      <c r="E30" s="1"/>
      <c r="F30" s="1"/>
      <c r="G30" s="1" t="s">
        <v>3</v>
      </c>
      <c r="H30" s="1"/>
      <c r="I30" s="1"/>
      <c r="J30" s="1"/>
      <c r="K30" s="1" t="s">
        <v>39</v>
      </c>
      <c r="L30" s="2"/>
      <c r="M30" s="1"/>
      <c r="N30" s="1"/>
      <c r="O30" s="1" t="s">
        <v>23</v>
      </c>
      <c r="P30" s="1"/>
      <c r="Q30" s="1"/>
      <c r="R30" s="1"/>
      <c r="S30" s="1"/>
      <c r="T30" s="1" t="s">
        <v>39</v>
      </c>
      <c r="W30" s="1" t="str">
        <f t="shared" si="0"/>
        <v/>
      </c>
      <c r="X30" s="1" t="str">
        <f t="shared" si="1"/>
        <v>Huckaby</v>
      </c>
      <c r="Y30" s="1" t="str">
        <f t="shared" si="2"/>
        <v/>
      </c>
      <c r="Z30" s="1" t="str">
        <f t="shared" si="3"/>
        <v/>
      </c>
      <c r="AA30" s="1" t="str">
        <f t="shared" si="4"/>
        <v>Handzel</v>
      </c>
      <c r="AB30" s="1"/>
      <c r="AC30" s="1"/>
      <c r="AD30" s="1" t="s">
        <v>39</v>
      </c>
      <c r="AE30" s="1"/>
      <c r="AF30" s="1"/>
      <c r="AG30" s="1" t="s">
        <v>39</v>
      </c>
      <c r="AI30" s="18"/>
      <c r="AJ30" s="28"/>
      <c r="AK30" s="20"/>
    </row>
    <row r="31" spans="1:37" x14ac:dyDescent="0.4">
      <c r="A31" s="1" t="s">
        <v>4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1" t="s">
        <v>3</v>
      </c>
      <c r="L31" s="2"/>
      <c r="M31" s="1" t="s">
        <v>39</v>
      </c>
      <c r="N31" s="1"/>
      <c r="O31" s="1"/>
      <c r="P31" s="1" t="s">
        <v>23</v>
      </c>
      <c r="Q31" s="1"/>
      <c r="R31" s="1"/>
      <c r="S31" s="1"/>
      <c r="T31" s="1" t="s">
        <v>39</v>
      </c>
      <c r="W31" s="1" t="str">
        <f t="shared" si="0"/>
        <v/>
      </c>
      <c r="X31" s="1" t="str">
        <f t="shared" si="1"/>
        <v>Kulkarni</v>
      </c>
      <c r="Y31" s="1" t="str">
        <f t="shared" si="2"/>
        <v/>
      </c>
      <c r="Z31" s="1" t="str">
        <f t="shared" si="3"/>
        <v/>
      </c>
      <c r="AA31" s="1" t="str">
        <f t="shared" si="4"/>
        <v>Tam</v>
      </c>
      <c r="AB31" s="1"/>
      <c r="AC31" s="1"/>
      <c r="AD31" s="1" t="s">
        <v>39</v>
      </c>
      <c r="AE31" s="1"/>
      <c r="AF31" s="1"/>
      <c r="AG31" s="1" t="s">
        <v>39</v>
      </c>
      <c r="AI31" s="18"/>
      <c r="AJ31" s="28"/>
      <c r="AK31" s="20"/>
    </row>
    <row r="32" spans="1:37" x14ac:dyDescent="0.4">
      <c r="A32" s="1" t="s">
        <v>10</v>
      </c>
      <c r="B32" s="9">
        <v>31</v>
      </c>
      <c r="C32" s="1"/>
      <c r="D32" s="1"/>
      <c r="E32" s="1"/>
      <c r="F32" s="1"/>
      <c r="G32" s="1"/>
      <c r="H32" s="1" t="s">
        <v>23</v>
      </c>
      <c r="I32" s="1"/>
      <c r="J32" s="1"/>
      <c r="K32" s="1"/>
      <c r="L32" s="2" t="s">
        <v>3</v>
      </c>
      <c r="M32" s="1" t="s">
        <v>39</v>
      </c>
      <c r="N32" s="1" t="s">
        <v>39</v>
      </c>
      <c r="O32" s="1"/>
      <c r="P32" s="1"/>
      <c r="Q32" s="1"/>
      <c r="R32" s="1"/>
      <c r="S32" s="1"/>
      <c r="T32" s="1" t="s">
        <v>39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>Hill (Kirk)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Cyr</v>
      </c>
      <c r="AB32" s="1"/>
      <c r="AC32" s="1"/>
      <c r="AD32" s="1" t="s">
        <v>39</v>
      </c>
      <c r="AE32" s="1"/>
      <c r="AF32" s="1"/>
      <c r="AG32" s="1" t="s">
        <v>39</v>
      </c>
      <c r="AI32" s="18"/>
      <c r="AJ32" s="28"/>
      <c r="AK32" s="20"/>
    </row>
    <row r="33" spans="1:36" s="5" customFormat="1" x14ac:dyDescent="0.4">
      <c r="A33" s="2"/>
      <c r="B33" s="34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W33" s="35"/>
      <c r="X33" s="35"/>
      <c r="Y33" s="35"/>
      <c r="Z33" s="35"/>
      <c r="AA33" s="35"/>
      <c r="AB33" s="35"/>
      <c r="AC33" s="2"/>
      <c r="AD33" s="2"/>
      <c r="AE33" s="2"/>
      <c r="AF33" s="2"/>
      <c r="AG33" s="2"/>
      <c r="AJ33" s="30"/>
    </row>
    <row r="34" spans="1:36" x14ac:dyDescent="0.4">
      <c r="A34" s="7" t="s">
        <v>11</v>
      </c>
      <c r="B34" s="24"/>
      <c r="C34" s="7" t="s">
        <v>41</v>
      </c>
      <c r="D34" s="7" t="s">
        <v>59</v>
      </c>
      <c r="E34" s="7" t="s">
        <v>41</v>
      </c>
      <c r="F34" s="7" t="s">
        <v>41</v>
      </c>
      <c r="G34" s="7" t="s">
        <v>54</v>
      </c>
      <c r="H34" s="7" t="s">
        <v>41</v>
      </c>
      <c r="I34" s="7" t="s">
        <v>54</v>
      </c>
      <c r="J34" s="7" t="s">
        <v>54</v>
      </c>
      <c r="K34" s="7" t="s">
        <v>54</v>
      </c>
      <c r="L34" s="31" t="s">
        <v>58</v>
      </c>
      <c r="M34" s="7" t="s">
        <v>54</v>
      </c>
      <c r="N34" s="7" t="s">
        <v>58</v>
      </c>
      <c r="O34" s="7" t="s">
        <v>54</v>
      </c>
      <c r="P34" s="7" t="s">
        <v>59</v>
      </c>
      <c r="Q34" s="7" t="s">
        <v>54</v>
      </c>
      <c r="R34" s="7" t="s">
        <v>61</v>
      </c>
      <c r="S34" s="7" t="s">
        <v>57</v>
      </c>
      <c r="T34" s="7" t="s">
        <v>44</v>
      </c>
      <c r="W34" s="6"/>
      <c r="X34" s="4"/>
      <c r="Y34" s="6"/>
      <c r="Z34" s="6"/>
      <c r="AA34" s="6"/>
      <c r="AB34" s="6"/>
      <c r="AC34" s="1">
        <f>COUNTIF(AC2:AC32,"x")</f>
        <v>15</v>
      </c>
      <c r="AD34" s="1">
        <f>COUNTIF(AD2:AD31,"x")</f>
        <v>22</v>
      </c>
      <c r="AE34" s="1">
        <f>COUNTIF(AE2:AE31,"x")</f>
        <v>7</v>
      </c>
      <c r="AF34" s="1">
        <f>COUNTIF(AF2:AF31,"x")</f>
        <v>3</v>
      </c>
      <c r="AG34" s="1">
        <f>COUNTIF(AG2:AG31,"x")</f>
        <v>30</v>
      </c>
      <c r="AJ34" s="28"/>
    </row>
    <row r="35" spans="1:36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1">
        <f t="shared" si="5"/>
        <v>5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3</v>
      </c>
      <c r="I35" s="1">
        <f t="shared" si="5"/>
        <v>6</v>
      </c>
      <c r="J35" s="1">
        <f t="shared" si="5"/>
        <v>6</v>
      </c>
      <c r="K35" s="1">
        <f t="shared" si="5"/>
        <v>6</v>
      </c>
      <c r="L35" s="2">
        <f>COUNTIF(L2:L32,"Trauma")+COUNTIF(L2:L32,"CHP*")+COUNTIF(L2:L32,"SHY")+COUNTIF(L2:L32,"CT")</f>
        <v>4</v>
      </c>
      <c r="M35" s="1">
        <f t="shared" ref="M35:S35" si="6">COUNTIF(M2:M32,"Trauma")+COUNTIF(M2:M32,"CHP*")+COUNTIF(M2:M32,"SHY")+COUNTIF(M2:M32,"CT")</f>
        <v>5</v>
      </c>
      <c r="N35" s="1">
        <f t="shared" si="6"/>
        <v>4</v>
      </c>
      <c r="O35" s="1">
        <f t="shared" si="6"/>
        <v>5</v>
      </c>
      <c r="P35" s="1">
        <f t="shared" si="6"/>
        <v>4</v>
      </c>
      <c r="Q35" s="1">
        <f t="shared" si="6"/>
        <v>5</v>
      </c>
      <c r="R35" s="1">
        <f t="shared" si="6"/>
        <v>6</v>
      </c>
      <c r="S35" s="1">
        <f t="shared" si="6"/>
        <v>1</v>
      </c>
      <c r="T35" s="1">
        <v>0</v>
      </c>
      <c r="V35" s="3"/>
      <c r="Y35" s="26"/>
      <c r="Z35" s="26"/>
      <c r="AA35" s="26"/>
      <c r="AB35" s="26"/>
      <c r="AJ35" s="28"/>
    </row>
    <row r="36" spans="1:36" x14ac:dyDescent="0.4">
      <c r="A36" s="1" t="s">
        <v>28</v>
      </c>
      <c r="B36" s="9"/>
      <c r="C36" s="9">
        <f>INT(RIGHT(C34))</f>
        <v>3</v>
      </c>
      <c r="D36" s="9">
        <f t="shared" ref="D36:K36" si="7">INT(RIGHT(D34))</f>
        <v>4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3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27">
        <f t="shared" ref="L36:T36" si="8">INT(RIGHT(L34))</f>
        <v>4</v>
      </c>
      <c r="M36" s="9">
        <f t="shared" si="8"/>
        <v>5</v>
      </c>
      <c r="N36" s="9">
        <f t="shared" si="8"/>
        <v>4</v>
      </c>
      <c r="O36" s="9">
        <f t="shared" si="8"/>
        <v>5</v>
      </c>
      <c r="P36" s="9">
        <f t="shared" si="8"/>
        <v>4</v>
      </c>
      <c r="Q36" s="9">
        <f t="shared" si="8"/>
        <v>5</v>
      </c>
      <c r="R36" s="9">
        <f t="shared" si="8"/>
        <v>6</v>
      </c>
      <c r="S36" s="9">
        <f t="shared" si="8"/>
        <v>1</v>
      </c>
      <c r="T36" s="9">
        <f t="shared" si="8"/>
        <v>0</v>
      </c>
      <c r="W36" s="17" t="s">
        <v>46</v>
      </c>
      <c r="X36" s="3">
        <f>SUM(AC34:AF34)</f>
        <v>47</v>
      </c>
      <c r="AJ36" s="28"/>
    </row>
    <row r="37" spans="1:36" x14ac:dyDescent="0.4">
      <c r="A37" s="1" t="s">
        <v>30</v>
      </c>
      <c r="B37" s="9"/>
      <c r="C37" s="9">
        <f t="shared" ref="C37:T37" si="9">C36-C35</f>
        <v>0</v>
      </c>
      <c r="D37" s="9">
        <f t="shared" si="9"/>
        <v>-1</v>
      </c>
      <c r="E37" s="9">
        <f t="shared" si="9"/>
        <v>0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9">
        <f t="shared" si="9"/>
        <v>-1</v>
      </c>
      <c r="J37" s="9">
        <f t="shared" si="9"/>
        <v>-1</v>
      </c>
      <c r="K37" s="9">
        <f t="shared" si="9"/>
        <v>-1</v>
      </c>
      <c r="L37" s="27">
        <f t="shared" ref="L37:S37" si="10">L36-L35</f>
        <v>0</v>
      </c>
      <c r="M37" s="9">
        <f t="shared" si="10"/>
        <v>0</v>
      </c>
      <c r="N37" s="9">
        <f t="shared" si="10"/>
        <v>0</v>
      </c>
      <c r="O37" s="9">
        <f t="shared" si="10"/>
        <v>0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si="10"/>
        <v>0</v>
      </c>
      <c r="T37" s="9">
        <f t="shared" si="9"/>
        <v>0</v>
      </c>
      <c r="W37" s="10" t="s">
        <v>47</v>
      </c>
      <c r="X37" s="3">
        <f>SUM($AC$34:$AG$34)</f>
        <v>77</v>
      </c>
      <c r="AJ37" s="28"/>
    </row>
    <row r="38" spans="1:36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27"/>
      <c r="M38" s="9"/>
      <c r="N38" s="9"/>
      <c r="O38" s="9"/>
      <c r="P38" s="9"/>
      <c r="Q38" s="9"/>
      <c r="R38" s="9"/>
      <c r="S38" s="9"/>
      <c r="T38" s="9"/>
      <c r="W38" s="10" t="s">
        <v>48</v>
      </c>
      <c r="X38" s="3">
        <f>SUM(D36:T36)</f>
        <v>67</v>
      </c>
      <c r="AJ38" s="28"/>
    </row>
    <row r="39" spans="1:36" x14ac:dyDescent="0.4">
      <c r="A39" s="1" t="s">
        <v>2</v>
      </c>
      <c r="B39" s="9"/>
      <c r="C39" s="9">
        <f t="shared" ref="C39:S39" si="11">COUNTIF(C$2:C$32,$A39)</f>
        <v>1</v>
      </c>
      <c r="D39" s="9">
        <f t="shared" si="11"/>
        <v>1</v>
      </c>
      <c r="E39" s="9">
        <f t="shared" si="11"/>
        <v>1</v>
      </c>
      <c r="F39" s="9">
        <f t="shared" si="11"/>
        <v>1</v>
      </c>
      <c r="G39" s="9">
        <f t="shared" si="11"/>
        <v>1</v>
      </c>
      <c r="H39" s="9">
        <f t="shared" si="11"/>
        <v>1</v>
      </c>
      <c r="I39" s="9">
        <f t="shared" si="11"/>
        <v>0</v>
      </c>
      <c r="J39" s="9">
        <f t="shared" si="11"/>
        <v>1</v>
      </c>
      <c r="K39" s="9">
        <f t="shared" si="11"/>
        <v>1</v>
      </c>
      <c r="L39" s="27">
        <f t="shared" si="11"/>
        <v>1</v>
      </c>
      <c r="M39" s="9">
        <f t="shared" si="11"/>
        <v>2</v>
      </c>
      <c r="N39" s="9">
        <f t="shared" si="11"/>
        <v>1</v>
      </c>
      <c r="O39" s="9">
        <f t="shared" si="11"/>
        <v>0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9">
        <f t="shared" si="11"/>
        <v>0</v>
      </c>
      <c r="T39" s="9">
        <f t="shared" ref="C39:T43" si="12">COUNTIF(T$2:T$32,$A39)</f>
        <v>0</v>
      </c>
      <c r="AJ39" s="28"/>
    </row>
    <row r="40" spans="1:36" x14ac:dyDescent="0.4">
      <c r="A40" s="1" t="s">
        <v>22</v>
      </c>
      <c r="B40" s="9"/>
      <c r="C40" s="9">
        <f t="shared" si="12"/>
        <v>1</v>
      </c>
      <c r="D40" s="9">
        <f t="shared" si="12"/>
        <v>0</v>
      </c>
      <c r="E40" s="9">
        <f t="shared" si="12"/>
        <v>1</v>
      </c>
      <c r="F40" s="9">
        <f t="shared" si="12"/>
        <v>0</v>
      </c>
      <c r="G40" s="9">
        <f t="shared" si="12"/>
        <v>1</v>
      </c>
      <c r="H40" s="9">
        <f t="shared" si="12"/>
        <v>0</v>
      </c>
      <c r="I40" s="9">
        <f t="shared" si="12"/>
        <v>1</v>
      </c>
      <c r="J40" s="9">
        <f t="shared" si="12"/>
        <v>2</v>
      </c>
      <c r="K40" s="9">
        <f t="shared" si="12"/>
        <v>0</v>
      </c>
      <c r="L40" s="27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  <c r="AJ40" s="28"/>
    </row>
    <row r="41" spans="1:36" x14ac:dyDescent="0.4">
      <c r="A41" s="1" t="s">
        <v>21</v>
      </c>
      <c r="B41" s="9"/>
      <c r="C41" s="9">
        <f t="shared" si="12"/>
        <v>0</v>
      </c>
      <c r="D41" s="9">
        <f t="shared" si="12"/>
        <v>1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1</v>
      </c>
      <c r="J41" s="9">
        <f t="shared" si="12"/>
        <v>0</v>
      </c>
      <c r="K41" s="9">
        <f t="shared" si="12"/>
        <v>1</v>
      </c>
      <c r="L41" s="27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AJ41" s="28"/>
    </row>
    <row r="42" spans="1:36" x14ac:dyDescent="0.4">
      <c r="A42" s="1" t="s">
        <v>23</v>
      </c>
      <c r="B42" s="9"/>
      <c r="C42" s="9">
        <f t="shared" si="12"/>
        <v>1</v>
      </c>
      <c r="D42" s="9">
        <f t="shared" si="12"/>
        <v>1</v>
      </c>
      <c r="E42" s="9">
        <f t="shared" si="12"/>
        <v>1</v>
      </c>
      <c r="F42" s="9">
        <f t="shared" si="12"/>
        <v>1</v>
      </c>
      <c r="G42" s="9">
        <f t="shared" si="12"/>
        <v>1</v>
      </c>
      <c r="H42" s="9">
        <f t="shared" si="12"/>
        <v>1</v>
      </c>
      <c r="I42" s="9">
        <f t="shared" si="12"/>
        <v>2</v>
      </c>
      <c r="J42" s="9">
        <f t="shared" si="12"/>
        <v>1</v>
      </c>
      <c r="K42" s="9">
        <f t="shared" si="12"/>
        <v>1</v>
      </c>
      <c r="L42" s="27">
        <f t="shared" si="12"/>
        <v>2</v>
      </c>
      <c r="M42" s="9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9">
        <f t="shared" si="12"/>
        <v>0</v>
      </c>
      <c r="T42" s="9">
        <f t="shared" si="12"/>
        <v>0</v>
      </c>
      <c r="AJ42" s="28"/>
    </row>
    <row r="43" spans="1:36" x14ac:dyDescent="0.4">
      <c r="A43" s="1" t="s">
        <v>3</v>
      </c>
      <c r="B43" s="9"/>
      <c r="C43" s="9">
        <f t="shared" si="12"/>
        <v>0</v>
      </c>
      <c r="D43" s="9">
        <f t="shared" si="12"/>
        <v>2</v>
      </c>
      <c r="E43" s="9">
        <f t="shared" si="12"/>
        <v>0</v>
      </c>
      <c r="F43" s="9">
        <f t="shared" si="12"/>
        <v>1</v>
      </c>
      <c r="G43" s="9">
        <f t="shared" si="12"/>
        <v>2</v>
      </c>
      <c r="H43" s="9">
        <f t="shared" si="12"/>
        <v>1</v>
      </c>
      <c r="I43" s="9">
        <f t="shared" si="12"/>
        <v>2</v>
      </c>
      <c r="J43" s="9">
        <f t="shared" si="12"/>
        <v>2</v>
      </c>
      <c r="K43" s="9">
        <f t="shared" si="12"/>
        <v>3</v>
      </c>
      <c r="L43" s="27">
        <f t="shared" si="12"/>
        <v>1</v>
      </c>
      <c r="M43" s="9">
        <f t="shared" si="12"/>
        <v>1</v>
      </c>
      <c r="N43" s="9">
        <f t="shared" si="12"/>
        <v>2</v>
      </c>
      <c r="O43" s="9">
        <f t="shared" si="12"/>
        <v>3</v>
      </c>
      <c r="P43" s="9">
        <f t="shared" si="12"/>
        <v>1</v>
      </c>
      <c r="Q43" s="9">
        <f t="shared" si="12"/>
        <v>2</v>
      </c>
      <c r="R43" s="9">
        <f t="shared" si="12"/>
        <v>3</v>
      </c>
      <c r="S43" s="9">
        <f t="shared" si="12"/>
        <v>1</v>
      </c>
      <c r="T43" s="9">
        <f t="shared" si="12"/>
        <v>0</v>
      </c>
      <c r="AJ43" s="28"/>
    </row>
    <row r="44" spans="1:36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1</v>
      </c>
      <c r="E44" s="1">
        <f t="shared" si="13"/>
        <v>0</v>
      </c>
      <c r="F44" s="1">
        <f t="shared" si="13"/>
        <v>2</v>
      </c>
      <c r="G44" s="1">
        <f t="shared" si="13"/>
        <v>0</v>
      </c>
      <c r="H44" s="1">
        <f t="shared" si="13"/>
        <v>0</v>
      </c>
      <c r="I44" s="1">
        <f t="shared" si="13"/>
        <v>1</v>
      </c>
      <c r="J44" s="1">
        <f t="shared" si="13"/>
        <v>3</v>
      </c>
      <c r="K44" s="1">
        <f t="shared" si="13"/>
        <v>1</v>
      </c>
      <c r="L44" s="2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1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1</v>
      </c>
      <c r="R44" s="1">
        <f t="shared" si="14"/>
        <v>0</v>
      </c>
      <c r="S44" s="1"/>
      <c r="T44" s="1">
        <f t="shared" si="13"/>
        <v>0</v>
      </c>
      <c r="AJ44" s="28"/>
    </row>
    <row r="45" spans="1:36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2">
        <f t="shared" ref="L45:R45" si="16">COUNTIFS(L2:L32,"Trauma",$A2:$A32,$A45)+COUNTIFS(L2:L32,"CHP*",$A2:$A32,$A45)+COUNTIFS(L2:L32,"SHY",$A2:$A32,$A45)+COUNTIFS(L2:L32,"CT",$A2:$A32,$A45)</f>
        <v>1</v>
      </c>
      <c r="M45" s="1">
        <f t="shared" si="16"/>
        <v>0</v>
      </c>
      <c r="N45" s="1">
        <f t="shared" si="16"/>
        <v>1</v>
      </c>
      <c r="O45" s="1">
        <f t="shared" si="16"/>
        <v>1</v>
      </c>
      <c r="P45" s="1">
        <f t="shared" si="16"/>
        <v>0</v>
      </c>
      <c r="Q45" s="1">
        <f t="shared" si="16"/>
        <v>0</v>
      </c>
      <c r="R45" s="1">
        <f t="shared" si="16"/>
        <v>2</v>
      </c>
      <c r="S45" s="1"/>
      <c r="T45" s="1">
        <f t="shared" si="15"/>
        <v>0</v>
      </c>
      <c r="AJ45" s="28"/>
    </row>
    <row r="46" spans="1:36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1</v>
      </c>
      <c r="D46" s="1">
        <f t="shared" si="17"/>
        <v>1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1</v>
      </c>
      <c r="L46" s="2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1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1</v>
      </c>
      <c r="R46" s="1">
        <f t="shared" si="18"/>
        <v>0</v>
      </c>
      <c r="S46" s="1"/>
      <c r="T46" s="1">
        <f t="shared" si="17"/>
        <v>0</v>
      </c>
      <c r="AJ46" s="28"/>
    </row>
    <row r="47" spans="1:36" x14ac:dyDescent="0.4">
      <c r="A47" s="1" t="s">
        <v>25</v>
      </c>
      <c r="C47" s="1">
        <f t="shared" ref="C47:T47" si="19">SUM(C44:C46)</f>
        <v>1</v>
      </c>
      <c r="D47" s="1">
        <f t="shared" si="19"/>
        <v>2</v>
      </c>
      <c r="E47" s="1">
        <f t="shared" si="19"/>
        <v>0</v>
      </c>
      <c r="F47" s="1">
        <f t="shared" si="19"/>
        <v>2</v>
      </c>
      <c r="G47" s="1">
        <f t="shared" si="19"/>
        <v>0</v>
      </c>
      <c r="H47" s="1">
        <f t="shared" si="19"/>
        <v>0</v>
      </c>
      <c r="I47" s="1">
        <f t="shared" si="19"/>
        <v>1</v>
      </c>
      <c r="J47" s="1">
        <f t="shared" si="19"/>
        <v>3</v>
      </c>
      <c r="K47" s="1">
        <f t="shared" si="19"/>
        <v>2</v>
      </c>
      <c r="L47" s="2">
        <f t="shared" ref="L47:R47" si="20">SUM(L44:L46)</f>
        <v>1</v>
      </c>
      <c r="M47" s="1">
        <f t="shared" si="20"/>
        <v>2</v>
      </c>
      <c r="N47" s="1">
        <f t="shared" si="20"/>
        <v>1</v>
      </c>
      <c r="O47" s="1">
        <f t="shared" si="20"/>
        <v>1</v>
      </c>
      <c r="P47" s="1">
        <f t="shared" si="20"/>
        <v>0</v>
      </c>
      <c r="Q47" s="1">
        <f t="shared" si="20"/>
        <v>2</v>
      </c>
      <c r="R47" s="1">
        <f t="shared" si="20"/>
        <v>2</v>
      </c>
      <c r="S47" s="1"/>
      <c r="T47" s="1">
        <f t="shared" si="19"/>
        <v>0</v>
      </c>
      <c r="AJ47" s="28"/>
    </row>
    <row r="48" spans="1:36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0.25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0.66666666666666663</v>
      </c>
      <c r="G48" s="11">
        <f>SUMPRODUCT(COUNTIFS($A$2:$A$32,{"Fri";"Sat";"Sun"},G$2:G$32,"x"))/$B48</f>
        <v>0.58333333333333337</v>
      </c>
      <c r="H48" s="11">
        <f>SUMPRODUCT(COUNTIFS($A$2:$A$32,{"Fri";"Sat";"Sun"},H$2:H$32,"x"))/$B48</f>
        <v>0.83333333333333337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0.16666666666666666</v>
      </c>
      <c r="K48" s="11">
        <f>SUMPRODUCT(COUNTIFS($A$2:$A$32,{"Fri";"Sat";"Sun"},K$2:K$32,"x"))/$B48</f>
        <v>0.75</v>
      </c>
      <c r="L48" s="32">
        <f>SUMPRODUCT(COUNTIFS($A$2:$A$32,{"Fri";"Sat";"Sun"},L$2:L$32,"x"))/$B48</f>
        <v>0.66666666666666663</v>
      </c>
      <c r="M48" s="11">
        <f>SUMPRODUCT(COUNTIFS($A$2:$A$32,{"Fri";"Sat";"Sun"},M$2:M$32,"x"))/$B48</f>
        <v>0.16666666666666666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0.25</v>
      </c>
      <c r="P48" s="11">
        <f>SUMPRODUCT(COUNTIFS($A$2:$A$32,{"Fri";"Sat";"Sun"},P$2:P$32,"x"))/$B48</f>
        <v>1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0.25</v>
      </c>
      <c r="S48" s="11"/>
      <c r="T48" s="11">
        <f>SUMPRODUCT(COUNTIFS($A$2:$A$32,{"Fri";"Sat";"Sun"},T$2:T$32,"x"))/$B48</f>
        <v>1</v>
      </c>
      <c r="AJ48" s="29"/>
    </row>
    <row r="49" spans="1:36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0.35483870967741937</v>
      </c>
      <c r="D49" s="11">
        <f t="shared" si="21"/>
        <v>0.16129032258064516</v>
      </c>
      <c r="E49" s="11">
        <f t="shared" si="21"/>
        <v>0.67741935483870963</v>
      </c>
      <c r="F49" s="11">
        <f t="shared" si="21"/>
        <v>0.5161290322580645</v>
      </c>
      <c r="G49" s="11">
        <f t="shared" si="21"/>
        <v>0.41935483870967744</v>
      </c>
      <c r="H49" s="11">
        <f t="shared" si="21"/>
        <v>0.70967741935483875</v>
      </c>
      <c r="I49" s="11">
        <f t="shared" si="21"/>
        <v>0.22580645161290322</v>
      </c>
      <c r="J49" s="11">
        <f t="shared" si="21"/>
        <v>6.4516129032258063E-2</v>
      </c>
      <c r="K49" s="11">
        <f t="shared" si="21"/>
        <v>0.5161290322580645</v>
      </c>
      <c r="L49" s="32">
        <f t="shared" si="21"/>
        <v>0.45161290322580644</v>
      </c>
      <c r="M49" s="11">
        <f t="shared" si="21"/>
        <v>0.19354838709677419</v>
      </c>
      <c r="N49" s="11">
        <f t="shared" si="21"/>
        <v>0.64516129032258063</v>
      </c>
      <c r="O49" s="11">
        <f t="shared" si="21"/>
        <v>0.22580645161290322</v>
      </c>
      <c r="P49" s="11">
        <f t="shared" si="21"/>
        <v>0.4838709677419355</v>
      </c>
      <c r="Q49" s="11">
        <f t="shared" si="21"/>
        <v>0.38709677419354838</v>
      </c>
      <c r="R49" s="11">
        <f t="shared" si="21"/>
        <v>0.22580645161290322</v>
      </c>
      <c r="S49" s="11"/>
      <c r="T49" s="11">
        <f t="shared" si="21"/>
        <v>1</v>
      </c>
      <c r="AJ49" s="28"/>
    </row>
    <row r="50" spans="1:36" x14ac:dyDescent="0.4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33"/>
      <c r="M50" s="12"/>
      <c r="N50" s="12"/>
      <c r="O50" s="12"/>
      <c r="P50" s="12"/>
      <c r="Q50" s="12"/>
      <c r="R50" s="12"/>
      <c r="S50" s="12"/>
      <c r="T50" s="12"/>
      <c r="AJ50" s="28"/>
    </row>
    <row r="51" spans="1:36" x14ac:dyDescent="0.4">
      <c r="A51" s="12"/>
      <c r="B51" s="12"/>
      <c r="C51" s="3" t="s">
        <v>43</v>
      </c>
      <c r="D51" s="12" t="s">
        <v>60</v>
      </c>
      <c r="E51" s="12"/>
      <c r="F51" s="12"/>
      <c r="G51" s="12"/>
      <c r="H51" s="12"/>
      <c r="I51" s="12" t="s">
        <v>49</v>
      </c>
      <c r="J51" s="12"/>
      <c r="K51" s="12"/>
      <c r="L51" s="33"/>
      <c r="M51" s="12"/>
      <c r="N51" s="12"/>
      <c r="O51" s="12" t="s">
        <v>40</v>
      </c>
      <c r="P51" s="12"/>
      <c r="Q51" s="12"/>
      <c r="R51" s="12" t="s">
        <v>40</v>
      </c>
      <c r="S51" s="12"/>
      <c r="T51" s="12" t="s">
        <v>45</v>
      </c>
      <c r="AJ51" s="28"/>
    </row>
    <row r="52" spans="1:36" x14ac:dyDescent="0.4">
      <c r="A52" s="12"/>
      <c r="B52" s="12"/>
      <c r="C52" s="12"/>
      <c r="D52" s="12"/>
      <c r="E52" s="12"/>
      <c r="F52" s="12"/>
      <c r="G52" s="12"/>
      <c r="H52" s="12"/>
      <c r="I52" s="12" t="s">
        <v>51</v>
      </c>
      <c r="J52" s="12"/>
      <c r="K52" s="12" t="s">
        <v>50</v>
      </c>
      <c r="L52" s="33"/>
      <c r="M52" s="12" t="s">
        <v>53</v>
      </c>
      <c r="N52" s="12" t="s">
        <v>50</v>
      </c>
      <c r="O52" s="12" t="s">
        <v>53</v>
      </c>
      <c r="P52" s="12"/>
      <c r="Q52" s="12"/>
      <c r="R52" s="12"/>
      <c r="S52" s="12"/>
      <c r="T52" s="12"/>
    </row>
    <row r="53" spans="1:36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33"/>
      <c r="M53" s="12"/>
      <c r="N53" s="12"/>
      <c r="O53" s="12"/>
      <c r="P53" s="12"/>
      <c r="Q53" s="12"/>
      <c r="R53" s="12"/>
      <c r="S53" s="12"/>
      <c r="T53" s="12"/>
    </row>
    <row r="54" spans="1:36" x14ac:dyDescent="0.4">
      <c r="C54" s="12"/>
      <c r="K54" s="3" t="s">
        <v>52</v>
      </c>
      <c r="O54" s="3" t="s">
        <v>52</v>
      </c>
      <c r="S54" s="3" t="s">
        <v>56</v>
      </c>
    </row>
    <row r="56" spans="1:36" x14ac:dyDescent="0.4">
      <c r="K56" s="3" t="s">
        <v>55</v>
      </c>
    </row>
    <row r="57" spans="1:36" x14ac:dyDescent="0.4">
      <c r="C57" s="8"/>
    </row>
  </sheetData>
  <conditionalFormatting sqref="I8:S8 C4:C30 D4:S7 D8:G8 D9:S30 C31:S32 T2:T33 H8:H28 N5:N2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 N5:N2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AI37 A37:V37 W38 AK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2017-08-18T17:55:48Z</dcterms:modified>
</cp:coreProperties>
</file>