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wuSQtAsJEl2NP6Iz7oyqOw2Hpg74fyR0TiuJfHxuQFav3QVpAO2O6wUvwk/9JlCE7Jnno34noalm2SedcLtEIg==" workbookSaltValue="uD1QIhhPFX96I3X0f3DouA==" workbookSpinCount="100000" lockStructure="1"/>
  <bookViews>
    <workbookView xWindow="0" yWindow="0" windowWidth="15617" windowHeight="3634"/>
  </bookViews>
  <sheets>
    <sheet name="August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S48" i="3" l="1"/>
  <c r="S49" i="3"/>
  <c r="V33" i="5"/>
  <c r="W33" i="5"/>
  <c r="V34" i="5"/>
  <c r="W34" i="5"/>
  <c r="V35" i="5"/>
  <c r="W35" i="5"/>
  <c r="S36" i="3"/>
  <c r="T36" i="3"/>
  <c r="T37" i="3"/>
  <c r="S35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7" i="3"/>
  <c r="R45" i="3"/>
  <c r="L46" i="3"/>
  <c r="M46" i="3"/>
  <c r="N46" i="3"/>
  <c r="O46" i="3"/>
  <c r="P46" i="3"/>
  <c r="Q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X6" i="5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X10" i="5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Y18" i="5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Y20" i="5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B49" i="3"/>
  <c r="L49" i="3"/>
  <c r="B48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3"/>
  <c r="C35" i="5"/>
  <c r="D35" i="3"/>
  <c r="D35" i="5"/>
  <c r="E35" i="3"/>
  <c r="E35" i="5"/>
  <c r="F35" i="3"/>
  <c r="F35" i="5"/>
  <c r="G35" i="3"/>
  <c r="G35" i="5"/>
  <c r="H35" i="3"/>
  <c r="I35" i="3"/>
  <c r="I37" i="3"/>
  <c r="J35" i="3"/>
  <c r="J35" i="5"/>
  <c r="K35" i="3"/>
  <c r="Y4" i="5"/>
  <c r="X14" i="5"/>
  <c r="Z15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<sst xmlns="http://schemas.openxmlformats.org/spreadsheetml/2006/main" count="340" uniqueCount="69">
  <si>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</si>
  <si>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</si>
  <si>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</si>
  <si>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</si>
  <si>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</si>
  <si>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</si>
  <si>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</si>
  <si>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</si>
  <si>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</si>
  <si>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</si>
  <si>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</si>
  <si>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</si>
  <si>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</si>
  <si>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</si>
  <si>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</si>
  <si>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</si>
  <si>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</si>
  <si>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</si>
  <si>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</si>
  <si>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</si>
  <si>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</si>
  <si>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</si>
  <si>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</si>
  <si>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</si>
  <si>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</si>
  <si>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</si>
  <si>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</si>
  <si>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</si>
  <si>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</si>
  <si>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</si>
  <si>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</si>
  <si>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</si>
  <si>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</si>
  <si>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</si>
  <si>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</si>
  <si>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</si>
  <si>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</si>
  <si>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</si>
  <si>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</si>
  <si>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</si>
  <si>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</si>
  <si>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</si>
  <si>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</si>
  <si>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</si>
  <si>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</si>
  <si>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</si>
  <si>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</si>
  <si>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</si>
  <si>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</si>
  <si>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</si>
  <si>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</si>
  <si>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</si>
  <si>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</si>
  <si>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</si>
  <si>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</si>
  <si>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</si>
  <si>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</si>
  <si>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</si>
  <si>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</si>
  <si>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KAUTZA</t>
  </si>
  <si>
    <t>BRIGGS</t>
  </si>
  <si>
    <t>SCHUCHERT</t>
  </si>
  <si>
    <t>BAUZA</t>
  </si>
  <si>
    <t>MOHAN</t>
  </si>
  <si>
    <t>ZUCKERBRAUN</t>
  </si>
  <si>
    <t>ALARCON</t>
  </si>
  <si>
    <t>ELIAS</t>
  </si>
  <si>
    <t>SPERRY</t>
  </si>
  <si>
    <t>NEAL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</si>
</sst>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0" fillId="2" borderId="0" xfId="0" applyFont="1" applyFill="1" applyBorder="1" applyAlignment="1">
      <alignment wrapText="1"/>
    </xf>
    <xf numFmtId="0" fontId="1" fillId="0" borderId="0" xfId="1002" applyFont="1" applyFill="1" applyProtection="1"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8" sqref="O8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/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>x</v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>NEEDS COVERAGE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/>
      </c>
      <c r="R5" s="13" t="str">
        <f>IF(ISBLANK(Master!R5),"",Master!R5)</f>
        <v>x</v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NEEDS COVERAGE</v>
      </c>
    </row>
    <row r="6" spans="1:26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/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NEEDS COVERAGE</v>
      </c>
    </row>
    <row r="7" spans="1:26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>NEEDS COVERAGE</v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>NEEDS COVERAGE</v>
      </c>
    </row>
    <row r="8" spans="1:26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/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/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>NEEDS COVERAGE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>NEEDS COVERAGE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/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>x</v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>NEEDS COVERAGE</v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NEEDS COVERAGE</v>
      </c>
    </row>
    <row r="13" spans="1:26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NEEDS COVERAGE</v>
      </c>
    </row>
    <row r="14" spans="1:26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/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>NEEDS COVERAGE</v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>NEEDS COVERAGE</v>
      </c>
    </row>
    <row r="15" spans="1:26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/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>NEEDS COVERAGE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x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>NEEDS COVERAGE</v>
      </c>
    </row>
    <row r="19" spans="1:26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>x</v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>NEEDS COVERAGE</v>
      </c>
    </row>
    <row r="20" spans="1:26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/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>NEEDS COVERAGE</v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/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/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>NEEDS COVERAGE</v>
      </c>
    </row>
    <row r="23" spans="1:26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/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>NEEDS COVERAGE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>NEEDS COVERAGE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/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/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>NEEDS COVERAGE</v>
      </c>
    </row>
    <row r="27" spans="1:26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x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/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>x</v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>NEEDS COVERAGE</v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>NEEDS COVERAGE</v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/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>NEEDS COVERAGE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NEEDS COVERAGE</v>
      </c>
    </row>
    <row r="31" spans="1:26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Normal="10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13" sqref="Q13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10" style="3" customWidth="1"/>
    <col min="17" max="17" width="10" style="5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15" style="3" bestFit="1" customWidth="1"/>
    <col min="23" max="27" width="16.84375" style="10" bestFit="1" customWidth="1"/>
    <col min="28" max="28" width="36.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28" t="s">
        <v>0</v>
      </c>
      <c r="B1" s="29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2" t="s">
        <v>36</v>
      </c>
      <c r="R1" s="1" t="s">
        <v>37</v>
      </c>
      <c r="S1" s="1" t="s">
        <v>38</v>
      </c>
      <c r="T1" s="30" t="s">
        <v>42</v>
      </c>
      <c r="W1" s="4" t="s">
        <v>2</v>
      </c>
      <c r="X1" s="31" t="s">
        <v>23</v>
      </c>
      <c r="Y1" s="31" t="s">
        <v>22</v>
      </c>
      <c r="Z1" s="31" t="s">
        <v>21</v>
      </c>
      <c r="AA1" s="31" t="s">
        <v>3</v>
      </c>
      <c r="AB1" s="4"/>
      <c r="AC1" s="4" t="s">
        <v>2</v>
      </c>
      <c r="AD1" s="31" t="s">
        <v>23</v>
      </c>
      <c r="AE1" s="31" t="s">
        <v>22</v>
      </c>
      <c r="AF1" s="31" t="s">
        <v>21</v>
      </c>
      <c r="AG1" s="31" t="s">
        <v>3</v>
      </c>
    </row>
    <row r="2" spans="1:37" x14ac:dyDescent="0.4">
      <c r="A2" s="1" t="s">
        <v>5</v>
      </c>
      <c r="B2" s="9">
        <v>1</v>
      </c>
      <c r="C2" s="1"/>
      <c r="D2" s="1"/>
      <c r="E2" s="1" t="s">
        <v>39</v>
      </c>
      <c r="F2" s="1" t="s">
        <v>39</v>
      </c>
      <c r="G2" s="1"/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2"/>
      <c r="R2" s="1" t="s">
        <v>39</v>
      </c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39</v>
      </c>
      <c r="AI2" s="15"/>
      <c r="AJ2" s="16"/>
      <c r="AK2" s="17"/>
    </row>
    <row r="3" spans="1:37" x14ac:dyDescent="0.4">
      <c r="A3" s="1" t="s">
        <v>6</v>
      </c>
      <c r="B3" s="9">
        <v>2</v>
      </c>
      <c r="C3" s="1"/>
      <c r="D3" s="1"/>
      <c r="E3" s="1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2"/>
      <c r="R3" s="1" t="s">
        <v>39</v>
      </c>
      <c r="S3" s="1"/>
      <c r="T3" s="1"/>
      <c r="V3" s="3" t="s">
        <v>60</v>
      </c>
      <c r="W3" s="1" t="str">
        <f t="shared" si="0"/>
        <v>NEEDS COVERAGE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/>
      <c r="AC3" s="1" t="s">
        <v>39</v>
      </c>
      <c r="AD3" s="1"/>
      <c r="AE3" s="1"/>
      <c r="AF3" s="1"/>
      <c r="AG3" s="1" t="s">
        <v>39</v>
      </c>
      <c r="AI3" s="15"/>
      <c r="AJ3" s="18"/>
      <c r="AK3" s="17"/>
    </row>
    <row r="4" spans="1:37" x14ac:dyDescent="0.4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1"/>
      <c r="I4" s="1" t="s">
        <v>39</v>
      </c>
      <c r="J4" s="1"/>
      <c r="K4" s="1" t="s">
        <v>39</v>
      </c>
      <c r="L4" s="1" t="s">
        <v>39</v>
      </c>
      <c r="M4" s="1" t="s">
        <v>39</v>
      </c>
      <c r="N4" s="1" t="s">
        <v>39</v>
      </c>
      <c r="O4" s="1"/>
      <c r="P4" s="1" t="s">
        <v>39</v>
      </c>
      <c r="Q4" s="2"/>
      <c r="R4" s="1" t="s">
        <v>39</v>
      </c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/>
      <c r="AC4" s="1"/>
      <c r="AD4" s="1"/>
      <c r="AE4" s="1"/>
      <c r="AF4" s="1"/>
      <c r="AG4" s="1" t="s">
        <v>39</v>
      </c>
      <c r="AI4" s="15"/>
      <c r="AJ4" s="19"/>
      <c r="AK4" s="17"/>
    </row>
    <row r="5" spans="1:37" x14ac:dyDescent="0.4">
      <c r="A5" s="1" t="s">
        <v>8</v>
      </c>
      <c r="B5" s="9">
        <v>4</v>
      </c>
      <c r="C5" s="1"/>
      <c r="D5" s="1"/>
      <c r="E5" s="1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2"/>
      <c r="R5" s="1" t="s">
        <v>39</v>
      </c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/>
      <c r="AC5" s="1"/>
      <c r="AD5" s="1"/>
      <c r="AE5" s="1"/>
      <c r="AF5" s="1"/>
      <c r="AG5" s="1" t="s">
        <v>39</v>
      </c>
      <c r="AI5" s="15"/>
      <c r="AJ5" s="19"/>
      <c r="AK5" s="17"/>
    </row>
    <row r="6" spans="1:37" x14ac:dyDescent="0.4">
      <c r="A6" s="1" t="s">
        <v>9</v>
      </c>
      <c r="B6" s="9">
        <v>5</v>
      </c>
      <c r="C6" s="1"/>
      <c r="D6" s="1" t="s">
        <v>39</v>
      </c>
      <c r="E6" s="1"/>
      <c r="F6" s="1"/>
      <c r="G6" s="1"/>
      <c r="H6" s="1"/>
      <c r="I6" s="1" t="s">
        <v>39</v>
      </c>
      <c r="J6" s="1" t="s">
        <v>39</v>
      </c>
      <c r="K6" s="1"/>
      <c r="L6" s="1" t="s">
        <v>39</v>
      </c>
      <c r="M6" s="1"/>
      <c r="N6" s="1" t="s">
        <v>39</v>
      </c>
      <c r="O6" s="1"/>
      <c r="P6" s="1"/>
      <c r="Q6" s="2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/>
      <c r="AC6" s="1"/>
      <c r="AD6" s="1"/>
      <c r="AE6" s="1"/>
      <c r="AF6" s="1"/>
      <c r="AG6" s="1" t="s">
        <v>39</v>
      </c>
      <c r="AI6" s="15"/>
      <c r="AJ6" s="16"/>
      <c r="AK6" s="17"/>
    </row>
    <row r="7" spans="1:37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/>
      <c r="G7" s="1"/>
      <c r="H7" s="1"/>
      <c r="I7" s="1"/>
      <c r="J7" s="1"/>
      <c r="K7" s="1" t="s">
        <v>39</v>
      </c>
      <c r="L7" s="1" t="s">
        <v>39</v>
      </c>
      <c r="M7" s="1"/>
      <c r="N7" s="1"/>
      <c r="O7" s="1"/>
      <c r="P7" s="1"/>
      <c r="Q7" s="2"/>
      <c r="R7" s="1"/>
      <c r="S7" s="1"/>
      <c r="T7" s="1"/>
      <c r="V7" s="3" t="s">
        <v>62</v>
      </c>
      <c r="W7" s="1" t="str">
        <f t="shared" si="0"/>
        <v>NEEDS COVERAGE</v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>NEEDS COVERAGE</v>
      </c>
      <c r="AB7" s="1"/>
      <c r="AC7" s="1" t="s">
        <v>39</v>
      </c>
      <c r="AD7" s="1"/>
      <c r="AE7" s="1"/>
      <c r="AF7" s="1"/>
      <c r="AG7" s="1" t="s">
        <v>39</v>
      </c>
      <c r="AI7" s="15"/>
      <c r="AJ7" s="18"/>
      <c r="AK7" s="17"/>
    </row>
    <row r="8" spans="1:37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/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/>
      <c r="P8" s="1"/>
      <c r="Q8" s="2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>NEEDS COVERAGE</v>
      </c>
      <c r="AB8" s="1"/>
      <c r="AC8" s="1"/>
      <c r="AD8" s="1"/>
      <c r="AE8" s="1"/>
      <c r="AF8" s="1"/>
      <c r="AG8" s="1" t="s">
        <v>39</v>
      </c>
      <c r="AI8" s="15"/>
      <c r="AJ8" s="19"/>
      <c r="AK8" s="17"/>
    </row>
    <row r="9" spans="1:37" x14ac:dyDescent="0.4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/>
      <c r="H9" s="1"/>
      <c r="I9" s="1" t="s">
        <v>39</v>
      </c>
      <c r="J9" s="1"/>
      <c r="K9" s="1" t="s">
        <v>39</v>
      </c>
      <c r="L9" s="1" t="s">
        <v>39</v>
      </c>
      <c r="M9" s="1"/>
      <c r="N9" s="1"/>
      <c r="O9" s="1"/>
      <c r="P9" s="1" t="s">
        <v>39</v>
      </c>
      <c r="Q9" s="2" t="s">
        <v>39</v>
      </c>
      <c r="R9" s="1"/>
      <c r="S9" s="1"/>
      <c r="T9" s="1"/>
      <c r="V9" s="3" t="s">
        <v>61</v>
      </c>
      <c r="W9" s="1" t="str">
        <f t="shared" si="0"/>
        <v>NEEDS COVERAGE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39</v>
      </c>
      <c r="AD9" s="1"/>
      <c r="AE9" s="1"/>
      <c r="AF9" s="1"/>
      <c r="AG9" s="1" t="s">
        <v>39</v>
      </c>
      <c r="AI9" s="15"/>
      <c r="AJ9" s="19"/>
      <c r="AK9" s="17"/>
    </row>
    <row r="10" spans="1:37" x14ac:dyDescent="0.4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/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2" t="s">
        <v>39</v>
      </c>
      <c r="R10" s="1"/>
      <c r="S10" s="1"/>
      <c r="T10" s="1"/>
      <c r="V10" s="3" t="s">
        <v>64</v>
      </c>
      <c r="W10" s="1" t="str">
        <f t="shared" si="0"/>
        <v>NEEDS COVERAGE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/>
      <c r="AC10" s="1" t="s">
        <v>39</v>
      </c>
      <c r="AD10" s="1"/>
      <c r="AE10" s="1"/>
      <c r="AF10" s="1"/>
      <c r="AG10" s="1" t="s">
        <v>39</v>
      </c>
      <c r="AI10" s="15"/>
      <c r="AJ10" s="19"/>
      <c r="AK10" s="17"/>
    </row>
    <row r="11" spans="1:37" x14ac:dyDescent="0.4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/>
      <c r="I11" s="1" t="s">
        <v>39</v>
      </c>
      <c r="J11" s="1"/>
      <c r="K11" s="1" t="s">
        <v>39</v>
      </c>
      <c r="L11" s="1" t="s">
        <v>39</v>
      </c>
      <c r="M11" s="1"/>
      <c r="N11" s="1"/>
      <c r="O11" s="1"/>
      <c r="P11" s="1" t="s">
        <v>39</v>
      </c>
      <c r="Q11" s="2" t="s">
        <v>39</v>
      </c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/>
      <c r="AC11" s="1"/>
      <c r="AD11" s="1"/>
      <c r="AE11" s="1"/>
      <c r="AF11" s="1"/>
      <c r="AG11" s="1" t="s">
        <v>39</v>
      </c>
      <c r="AI11" s="15"/>
      <c r="AJ11" s="18"/>
      <c r="AK11" s="17"/>
    </row>
    <row r="12" spans="1:37" x14ac:dyDescent="0.4">
      <c r="A12" s="1" t="s">
        <v>8</v>
      </c>
      <c r="B12" s="9">
        <v>11</v>
      </c>
      <c r="C12" s="1" t="s">
        <v>39</v>
      </c>
      <c r="D12" s="1" t="s">
        <v>39</v>
      </c>
      <c r="E12" s="1"/>
      <c r="F12" s="1" t="s">
        <v>39</v>
      </c>
      <c r="G12" s="1"/>
      <c r="H12" s="1"/>
      <c r="I12" s="1"/>
      <c r="J12" s="1"/>
      <c r="K12" s="1"/>
      <c r="L12" s="1" t="s">
        <v>39</v>
      </c>
      <c r="M12" s="1"/>
      <c r="N12" s="1" t="s">
        <v>39</v>
      </c>
      <c r="O12" s="1" t="s">
        <v>39</v>
      </c>
      <c r="P12" s="1"/>
      <c r="Q12" s="2"/>
      <c r="R12" s="1"/>
      <c r="S12" s="1"/>
      <c r="T12" s="1"/>
      <c r="V12" s="3" t="s">
        <v>65</v>
      </c>
      <c r="W12" s="1" t="str">
        <f t="shared" si="0"/>
        <v>NEEDS COVERAGE</v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/>
      <c r="AC12" s="1" t="s">
        <v>39</v>
      </c>
      <c r="AD12" s="1"/>
      <c r="AE12" s="1"/>
      <c r="AF12" s="1"/>
      <c r="AG12" s="1" t="s">
        <v>39</v>
      </c>
      <c r="AI12" s="15"/>
      <c r="AJ12" s="19"/>
      <c r="AK12" s="17"/>
    </row>
    <row r="13" spans="1:37" s="5" customFormat="1" x14ac:dyDescent="0.4">
      <c r="A13" s="2" t="s">
        <v>9</v>
      </c>
      <c r="B13" s="21">
        <v>12</v>
      </c>
      <c r="C13" s="2" t="s">
        <v>39</v>
      </c>
      <c r="D13" s="2" t="s">
        <v>39</v>
      </c>
      <c r="E13" s="2"/>
      <c r="F13" s="2"/>
      <c r="G13" s="2"/>
      <c r="H13" s="2"/>
      <c r="I13" s="2"/>
      <c r="J13" s="2"/>
      <c r="K13" s="2"/>
      <c r="L13" s="2"/>
      <c r="M13" s="2"/>
      <c r="N13" s="2" t="s">
        <v>39</v>
      </c>
      <c r="O13" s="2"/>
      <c r="P13" s="2"/>
      <c r="Q13" s="2"/>
      <c r="R13" s="2"/>
      <c r="S13" s="2"/>
      <c r="T13" s="2"/>
      <c r="W13" s="2" t="str">
        <f t="shared" si="0"/>
        <v/>
      </c>
      <c r="X13" s="2" t="str">
        <f t="shared" si="1"/>
        <v/>
      </c>
      <c r="Y13" s="2" t="str">
        <f t="shared" si="2"/>
        <v/>
      </c>
      <c r="Z13" s="2" t="str">
        <f t="shared" si="3"/>
        <v/>
      </c>
      <c r="AA13" s="2" t="str">
        <f t="shared" si="4"/>
        <v>NEEDS COVERAGE</v>
      </c>
      <c r="AB13" s="2"/>
      <c r="AC13" s="2"/>
      <c r="AD13" s="2"/>
      <c r="AE13" s="2"/>
      <c r="AF13" s="2"/>
      <c r="AG13" s="2" t="s">
        <v>39</v>
      </c>
      <c r="AI13" s="32"/>
      <c r="AJ13" s="34"/>
      <c r="AK13" s="33"/>
    </row>
    <row r="14" spans="1:37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/>
      <c r="H14" s="1"/>
      <c r="I14" s="1"/>
      <c r="J14" s="1"/>
      <c r="K14" s="1" t="s">
        <v>39</v>
      </c>
      <c r="L14" s="1"/>
      <c r="M14" s="1"/>
      <c r="N14" s="1"/>
      <c r="O14" s="1"/>
      <c r="P14" s="1"/>
      <c r="Q14" s="2"/>
      <c r="R14" s="1"/>
      <c r="S14" s="1"/>
      <c r="T14" s="1"/>
      <c r="V14" s="3" t="s">
        <v>66</v>
      </c>
      <c r="W14" s="1" t="str">
        <f t="shared" si="0"/>
        <v>NEEDS COVERAGE</v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>NEEDS COVERAGE</v>
      </c>
      <c r="AB14" s="1"/>
      <c r="AC14" s="1" t="s">
        <v>39</v>
      </c>
      <c r="AD14" s="1"/>
      <c r="AE14" s="1"/>
      <c r="AF14" s="1"/>
      <c r="AG14" s="1" t="s">
        <v>39</v>
      </c>
      <c r="AI14" s="19"/>
      <c r="AJ14" s="16"/>
      <c r="AK14" s="17"/>
    </row>
    <row r="15" spans="1:37" x14ac:dyDescent="0.4">
      <c r="A15" s="1" t="s">
        <v>10</v>
      </c>
      <c r="B15" s="9">
        <v>14</v>
      </c>
      <c r="C15" s="1"/>
      <c r="D15" s="1" t="s">
        <v>39</v>
      </c>
      <c r="E15" s="1"/>
      <c r="F15" s="1"/>
      <c r="G15" s="1"/>
      <c r="H15" s="1"/>
      <c r="I15" s="1" t="s">
        <v>39</v>
      </c>
      <c r="J15" s="1"/>
      <c r="K15" s="1" t="s">
        <v>39</v>
      </c>
      <c r="L15" s="1"/>
      <c r="M15" s="1"/>
      <c r="N15" s="1" t="s">
        <v>39</v>
      </c>
      <c r="O15" s="1"/>
      <c r="P15" s="1"/>
      <c r="Q15" s="2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/>
      <c r="AD15" s="1"/>
      <c r="AE15" s="1"/>
      <c r="AF15" s="1"/>
      <c r="AG15" s="1" t="s">
        <v>39</v>
      </c>
      <c r="AI15" s="15"/>
      <c r="AJ15" s="19"/>
      <c r="AK15" s="17"/>
    </row>
    <row r="16" spans="1:37" x14ac:dyDescent="0.4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1" t="s">
        <v>39</v>
      </c>
      <c r="H16" s="1"/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2" t="s">
        <v>39</v>
      </c>
      <c r="R16" s="1"/>
      <c r="S16" s="1"/>
      <c r="T16" s="1"/>
      <c r="V16" s="35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/>
      <c r="AD16" s="1"/>
      <c r="AE16" s="1"/>
      <c r="AF16" s="1"/>
      <c r="AG16" s="1" t="s">
        <v>39</v>
      </c>
      <c r="AI16" s="15"/>
      <c r="AJ16" s="18"/>
      <c r="AK16" s="17"/>
    </row>
    <row r="17" spans="1:37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/>
      <c r="I17" s="1" t="s">
        <v>39</v>
      </c>
      <c r="J17" s="1"/>
      <c r="K17" s="1" t="s">
        <v>39</v>
      </c>
      <c r="L17" s="1" t="s">
        <v>39</v>
      </c>
      <c r="M17" s="1"/>
      <c r="N17" s="1"/>
      <c r="O17" s="1"/>
      <c r="P17" s="1"/>
      <c r="Q17" s="2" t="s">
        <v>39</v>
      </c>
      <c r="R17" s="1" t="s">
        <v>39</v>
      </c>
      <c r="S17" s="1"/>
      <c r="T17" s="1"/>
      <c r="V17" s="3" t="s">
        <v>63</v>
      </c>
      <c r="W17" s="1" t="str">
        <f t="shared" si="0"/>
        <v>NEEDS COVERAGE</v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>NEEDS COVERAGE</v>
      </c>
      <c r="AB17" s="1"/>
      <c r="AC17" s="1" t="s">
        <v>39</v>
      </c>
      <c r="AD17" s="1"/>
      <c r="AE17" s="1"/>
      <c r="AF17" s="1"/>
      <c r="AG17" s="1" t="s">
        <v>39</v>
      </c>
      <c r="AI17" s="15"/>
      <c r="AJ17" s="16"/>
      <c r="AK17" s="17"/>
    </row>
    <row r="18" spans="1:37" x14ac:dyDescent="0.4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 t="s">
        <v>39</v>
      </c>
      <c r="H18" s="1"/>
      <c r="I18" s="1" t="s">
        <v>39</v>
      </c>
      <c r="J18" s="1"/>
      <c r="K18" s="1" t="s">
        <v>39</v>
      </c>
      <c r="L18" s="1"/>
      <c r="M18" s="1"/>
      <c r="N18" s="1"/>
      <c r="O18" s="1"/>
      <c r="P18" s="1"/>
      <c r="Q18" s="2" t="s">
        <v>39</v>
      </c>
      <c r="R18" s="1" t="s">
        <v>39</v>
      </c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NEEDS COVERAGE</v>
      </c>
      <c r="AB18" s="1"/>
      <c r="AC18" s="1"/>
      <c r="AD18" s="1"/>
      <c r="AE18" s="1"/>
      <c r="AF18" s="1"/>
      <c r="AG18" s="1" t="s">
        <v>39</v>
      </c>
      <c r="AI18" s="15"/>
      <c r="AJ18" s="19"/>
      <c r="AK18" s="17"/>
    </row>
    <row r="19" spans="1:37" x14ac:dyDescent="0.4">
      <c r="A19" s="1" t="s">
        <v>8</v>
      </c>
      <c r="B19" s="9">
        <v>18</v>
      </c>
      <c r="C19" s="1"/>
      <c r="D19" s="1" t="s">
        <v>39</v>
      </c>
      <c r="E19" s="1"/>
      <c r="F19" s="1"/>
      <c r="G19" s="1"/>
      <c r="H19" s="1"/>
      <c r="I19" s="1" t="s">
        <v>39</v>
      </c>
      <c r="J19" s="1"/>
      <c r="K19" s="1"/>
      <c r="L19" s="1"/>
      <c r="M19" s="1"/>
      <c r="N19" s="1" t="s">
        <v>39</v>
      </c>
      <c r="O19" s="1" t="s">
        <v>39</v>
      </c>
      <c r="P19" s="1"/>
      <c r="Q19" s="2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/>
      <c r="AC19" s="1"/>
      <c r="AD19" s="1"/>
      <c r="AE19" s="1"/>
      <c r="AF19" s="1"/>
      <c r="AG19" s="1" t="s">
        <v>39</v>
      </c>
      <c r="AI19" s="15"/>
      <c r="AJ19" s="16"/>
      <c r="AK19" s="17"/>
    </row>
    <row r="20" spans="1:37" x14ac:dyDescent="0.4">
      <c r="A20" s="1" t="s">
        <v>9</v>
      </c>
      <c r="B20" s="9">
        <v>19</v>
      </c>
      <c r="C20" s="1"/>
      <c r="D20" s="1" t="s">
        <v>39</v>
      </c>
      <c r="E20" s="1"/>
      <c r="F20" s="1"/>
      <c r="G20" s="1"/>
      <c r="H20" s="1"/>
      <c r="I20" s="1" t="s">
        <v>39</v>
      </c>
      <c r="J20" s="1"/>
      <c r="K20" s="1"/>
      <c r="L20" s="1"/>
      <c r="M20" s="1"/>
      <c r="N20" s="1" t="s">
        <v>39</v>
      </c>
      <c r="O20" s="1"/>
      <c r="P20" s="1"/>
      <c r="Q20" s="2"/>
      <c r="R20" s="1"/>
      <c r="S20" s="1"/>
      <c r="T20" s="1"/>
      <c r="V20" s="3" t="s">
        <v>67</v>
      </c>
      <c r="W20" s="1" t="str">
        <f t="shared" si="0"/>
        <v>NEEDS COVERAGE</v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/>
      <c r="AC20" s="1" t="s">
        <v>39</v>
      </c>
      <c r="AD20" s="1"/>
      <c r="AE20" s="1"/>
      <c r="AF20" s="1"/>
      <c r="AG20" s="1" t="s">
        <v>39</v>
      </c>
      <c r="AI20" s="15"/>
      <c r="AJ20" s="16"/>
      <c r="AK20" s="17"/>
    </row>
    <row r="21" spans="1:37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/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/>
      <c r="Q21" s="2"/>
      <c r="R21" s="1"/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>NEEDS COVERAGE</v>
      </c>
      <c r="AB21" s="1"/>
      <c r="AC21" s="1"/>
      <c r="AD21" s="1"/>
      <c r="AE21" s="1"/>
      <c r="AF21" s="1"/>
      <c r="AG21" s="1" t="s">
        <v>39</v>
      </c>
      <c r="AI21" s="19"/>
      <c r="AJ21" s="22"/>
      <c r="AK21" s="17"/>
    </row>
    <row r="22" spans="1:37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/>
      <c r="I22" s="1"/>
      <c r="J22" s="1" t="s">
        <v>39</v>
      </c>
      <c r="K22" s="1"/>
      <c r="L22" s="1"/>
      <c r="M22" s="1"/>
      <c r="N22" s="1" t="s">
        <v>39</v>
      </c>
      <c r="O22" s="1"/>
      <c r="P22" s="1" t="s">
        <v>39</v>
      </c>
      <c r="Q22" s="2"/>
      <c r="R22" s="1"/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>NEEDS COVERAGE</v>
      </c>
      <c r="AB22" s="1"/>
      <c r="AC22" s="1"/>
      <c r="AD22" s="1"/>
      <c r="AE22" s="1"/>
      <c r="AF22" s="1"/>
      <c r="AG22" s="1" t="s">
        <v>39</v>
      </c>
      <c r="AI22" s="15"/>
      <c r="AJ22" s="22"/>
      <c r="AK22" s="17"/>
    </row>
    <row r="23" spans="1:37" x14ac:dyDescent="0.4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/>
      <c r="H23" s="1"/>
      <c r="I23" s="1"/>
      <c r="J23" s="1" t="s">
        <v>39</v>
      </c>
      <c r="K23" s="1"/>
      <c r="L23" s="1" t="s">
        <v>39</v>
      </c>
      <c r="M23" s="1"/>
      <c r="N23" s="1" t="s">
        <v>39</v>
      </c>
      <c r="O23" s="1"/>
      <c r="P23" s="1" t="s">
        <v>39</v>
      </c>
      <c r="Q23" s="2" t="s">
        <v>39</v>
      </c>
      <c r="R23" s="1"/>
      <c r="S23" s="1"/>
      <c r="T23" s="1"/>
      <c r="V23" s="3" t="s">
        <v>60</v>
      </c>
      <c r="W23" s="1" t="str">
        <f t="shared" si="0"/>
        <v>NEEDS COVERAGE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39</v>
      </c>
      <c r="AD23" s="1"/>
      <c r="AE23" s="1"/>
      <c r="AF23" s="1"/>
      <c r="AG23" s="1" t="s">
        <v>39</v>
      </c>
      <c r="AI23" s="15"/>
      <c r="AJ23" s="22"/>
      <c r="AK23" s="17"/>
    </row>
    <row r="24" spans="1:37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2" t="s">
        <v>39</v>
      </c>
      <c r="R24" s="1"/>
      <c r="S24" s="1"/>
      <c r="T24" s="1"/>
      <c r="V24" s="3" t="s">
        <v>65</v>
      </c>
      <c r="W24" s="1" t="str">
        <f t="shared" si="0"/>
        <v>NEEDS COVERAGE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/>
      <c r="AC24" s="1" t="s">
        <v>39</v>
      </c>
      <c r="AD24" s="1"/>
      <c r="AE24" s="1"/>
      <c r="AF24" s="1"/>
      <c r="AG24" s="1" t="s">
        <v>39</v>
      </c>
      <c r="AI24" s="15"/>
      <c r="AJ24" s="22"/>
      <c r="AK24" s="17"/>
    </row>
    <row r="25" spans="1:37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/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2" t="s">
        <v>39</v>
      </c>
      <c r="R25" s="1"/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>NEEDS COVERAGE</v>
      </c>
      <c r="AB25" s="1"/>
      <c r="AC25" s="1"/>
      <c r="AD25" s="1"/>
      <c r="AE25" s="1"/>
      <c r="AF25" s="1"/>
      <c r="AG25" s="1" t="s">
        <v>39</v>
      </c>
      <c r="AI25" s="15"/>
      <c r="AJ25" s="22"/>
      <c r="AK25" s="17"/>
    </row>
    <row r="26" spans="1:37" x14ac:dyDescent="0.4">
      <c r="A26" s="1" t="s">
        <v>8</v>
      </c>
      <c r="B26" s="9">
        <v>25</v>
      </c>
      <c r="C26" s="1"/>
      <c r="D26" s="1" t="s">
        <v>39</v>
      </c>
      <c r="E26" s="1" t="s">
        <v>39</v>
      </c>
      <c r="F26" s="1"/>
      <c r="G26" s="1"/>
      <c r="H26" s="1"/>
      <c r="I26" s="1"/>
      <c r="J26" s="1"/>
      <c r="K26" s="1"/>
      <c r="L26" s="1"/>
      <c r="M26" s="1"/>
      <c r="N26" s="1" t="s">
        <v>39</v>
      </c>
      <c r="O26" s="1" t="s">
        <v>39</v>
      </c>
      <c r="P26" s="1" t="s">
        <v>39</v>
      </c>
      <c r="Q26" s="2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/>
      <c r="AC26" s="1"/>
      <c r="AD26" s="1"/>
      <c r="AE26" s="1"/>
      <c r="AF26" s="1"/>
      <c r="AG26" s="1" t="s">
        <v>39</v>
      </c>
      <c r="AI26" s="15"/>
      <c r="AJ26" s="22"/>
      <c r="AK26" s="17"/>
    </row>
    <row r="27" spans="1:37" x14ac:dyDescent="0.4">
      <c r="A27" s="1" t="s">
        <v>9</v>
      </c>
      <c r="B27" s="9">
        <v>26</v>
      </c>
      <c r="C27" s="1"/>
      <c r="D27" s="1" t="s">
        <v>39</v>
      </c>
      <c r="E27" s="1"/>
      <c r="F27" s="1"/>
      <c r="G27" s="1"/>
      <c r="H27" s="1"/>
      <c r="I27" s="1"/>
      <c r="J27" s="1"/>
      <c r="K27" s="1"/>
      <c r="L27" s="1"/>
      <c r="M27" s="1"/>
      <c r="N27" s="1" t="s">
        <v>39</v>
      </c>
      <c r="O27" s="1"/>
      <c r="P27" s="1" t="s">
        <v>39</v>
      </c>
      <c r="Q27" s="2"/>
      <c r="R27" s="1"/>
      <c r="S27" s="1"/>
      <c r="T27" s="1"/>
      <c r="V27" s="3" t="s">
        <v>67</v>
      </c>
      <c r="W27" s="1" t="str">
        <f t="shared" si="0"/>
        <v>NEEDS COVERAGE</v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/>
      <c r="AC27" s="1" t="s">
        <v>39</v>
      </c>
      <c r="AD27" s="1"/>
      <c r="AE27" s="1"/>
      <c r="AF27" s="1"/>
      <c r="AG27" s="1" t="s">
        <v>39</v>
      </c>
      <c r="AI27" s="15"/>
      <c r="AJ27" s="22"/>
      <c r="AK27" s="17"/>
    </row>
    <row r="28" spans="1:37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/>
      <c r="O28" s="1"/>
      <c r="P28" s="1" t="s">
        <v>39</v>
      </c>
      <c r="Q28" s="2"/>
      <c r="R28" s="1"/>
      <c r="S28" s="1"/>
      <c r="T28" s="1"/>
      <c r="V28" s="3" t="s">
        <v>68</v>
      </c>
      <c r="W28" s="1" t="str">
        <f t="shared" si="0"/>
        <v>NEEDS COVERAGE</v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>NEEDS COVERAGE</v>
      </c>
      <c r="AB28" s="1"/>
      <c r="AC28" s="1" t="s">
        <v>39</v>
      </c>
      <c r="AD28" s="1"/>
      <c r="AE28" s="1"/>
      <c r="AF28" s="1"/>
      <c r="AG28" s="1" t="s">
        <v>39</v>
      </c>
      <c r="AI28" s="15"/>
      <c r="AJ28" s="22"/>
      <c r="AK28" s="17"/>
    </row>
    <row r="29" spans="1:37" x14ac:dyDescent="0.4">
      <c r="A29" s="1" t="s">
        <v>10</v>
      </c>
      <c r="B29" s="9">
        <v>28</v>
      </c>
      <c r="C29" s="1"/>
      <c r="D29" s="1"/>
      <c r="E29" s="1"/>
      <c r="F29" s="1"/>
      <c r="G29" s="1"/>
      <c r="H29" s="1" t="s">
        <v>39</v>
      </c>
      <c r="I29" s="1"/>
      <c r="J29" s="1"/>
      <c r="K29" s="1"/>
      <c r="L29" s="1"/>
      <c r="M29" s="1"/>
      <c r="N29" s="1" t="s">
        <v>39</v>
      </c>
      <c r="O29" s="1"/>
      <c r="P29" s="1" t="s">
        <v>39</v>
      </c>
      <c r="Q29" s="2"/>
      <c r="R29" s="1"/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>NEEDS COVERAGE</v>
      </c>
      <c r="AB29" s="1"/>
      <c r="AC29" s="1"/>
      <c r="AD29" s="1"/>
      <c r="AE29" s="1"/>
      <c r="AF29" s="1"/>
      <c r="AG29" s="1" t="s">
        <v>39</v>
      </c>
      <c r="AI29" s="15"/>
      <c r="AJ29" s="22"/>
      <c r="AK29" s="17"/>
    </row>
    <row r="30" spans="1:37" x14ac:dyDescent="0.4">
      <c r="A30" s="1" t="s">
        <v>5</v>
      </c>
      <c r="B30" s="9">
        <v>29</v>
      </c>
      <c r="C30" s="1"/>
      <c r="D30" s="1"/>
      <c r="E30" s="1"/>
      <c r="F30" s="1"/>
      <c r="G30" s="1"/>
      <c r="H30" s="1" t="s">
        <v>39</v>
      </c>
      <c r="I30" s="1"/>
      <c r="J30" s="1" t="s">
        <v>39</v>
      </c>
      <c r="K30" s="1"/>
      <c r="L30" s="1"/>
      <c r="M30" s="1" t="s">
        <v>39</v>
      </c>
      <c r="N30" s="1"/>
      <c r="O30" s="1"/>
      <c r="P30" s="1"/>
      <c r="Q30" s="2"/>
      <c r="R30" s="1"/>
      <c r="S30" s="1"/>
      <c r="T30" s="1"/>
      <c r="V30" s="3" t="s">
        <v>59</v>
      </c>
      <c r="W30" s="1" t="str">
        <f t="shared" si="0"/>
        <v>NEEDS COVERAGE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NEEDS COVERAGE</v>
      </c>
      <c r="AB30" s="1"/>
      <c r="AC30" s="1" t="s">
        <v>39</v>
      </c>
      <c r="AD30" s="1"/>
      <c r="AE30" s="1"/>
      <c r="AF30" s="1"/>
      <c r="AG30" s="1" t="s">
        <v>39</v>
      </c>
      <c r="AI30" s="15"/>
      <c r="AJ30" s="22"/>
      <c r="AK30" s="17"/>
    </row>
    <row r="31" spans="1:37" x14ac:dyDescent="0.4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2"/>
      <c r="R31" s="1"/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/>
      <c r="AE31" s="1"/>
      <c r="AF31" s="1"/>
      <c r="AG31" s="1" t="s">
        <v>39</v>
      </c>
      <c r="AI31" s="15"/>
      <c r="AJ31" s="22"/>
      <c r="AK31" s="17"/>
    </row>
    <row r="32" spans="1:37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"/>
      <c r="R32" s="1"/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I32" s="15"/>
      <c r="AJ32" s="22"/>
      <c r="AK32" s="17"/>
    </row>
    <row r="33" spans="1:36" x14ac:dyDescent="0.4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  <c r="AJ33" s="22"/>
    </row>
    <row r="34" spans="1:36" x14ac:dyDescent="0.4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24" t="s">
        <v>48</v>
      </c>
      <c r="R34" s="7" t="s">
        <v>58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13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30</v>
      </c>
      <c r="AJ34" s="22"/>
    </row>
    <row r="35" spans="1:36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S35" si="6">COUNTIF(M2:M32,"Trauma")+COUNTIF(M2:M32,"CHP*")+COUNTIF(M2:M32,"SHY")+COUNTIF(M2:M32,"CT")</f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2">
        <f t="shared" si="6"/>
        <v>0</v>
      </c>
      <c r="R35" s="1">
        <f t="shared" si="6"/>
        <v>0</v>
      </c>
      <c r="S35" s="1">
        <f t="shared" si="6"/>
        <v>0</v>
      </c>
      <c r="T35" s="1">
        <v>0</v>
      </c>
      <c r="V35" s="3"/>
      <c r="Y35" s="27"/>
      <c r="Z35" s="27"/>
      <c r="AA35" s="27"/>
      <c r="AB35" s="27"/>
      <c r="AJ35" s="22"/>
    </row>
    <row r="36" spans="1:36" x14ac:dyDescent="0.4">
      <c r="A36" s="1" t="s">
        <v>28</v>
      </c>
      <c r="B36" s="9"/>
      <c r="C36" s="9">
        <f>INT(RIGHT(C34))</f>
        <v>4</v>
      </c>
      <c r="D36" s="9">
        <f t="shared" ref="D36:K36" si="7">INT(RIGHT(D34))</f>
        <v>3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5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T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3</v>
      </c>
      <c r="Q36" s="21">
        <f t="shared" si="8"/>
        <v>5</v>
      </c>
      <c r="R36" s="9">
        <f t="shared" si="8"/>
        <v>6</v>
      </c>
      <c r="S36" s="9" t="e">
        <f t="shared" si="8"/>
        <v>#VALUE!</v>
      </c>
      <c r="T36" s="9" t="e">
        <f t="shared" si="8"/>
        <v>#VALUE!</v>
      </c>
      <c r="W36" s="14" t="s">
        <v>45</v>
      </c>
      <c r="X36" s="3">
        <f>SUM(AC34:AF34)</f>
        <v>13</v>
      </c>
      <c r="AJ36" s="22"/>
    </row>
    <row r="37" spans="1:36" x14ac:dyDescent="0.4">
      <c r="A37" s="1" t="s">
        <v>30</v>
      </c>
      <c r="B37" s="9"/>
      <c r="C37" s="9">
        <f t="shared" ref="C37:T37" si="9">C36-C35</f>
        <v>4</v>
      </c>
      <c r="D37" s="9">
        <f t="shared" si="9"/>
        <v>3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5</v>
      </c>
      <c r="I37" s="9">
        <f t="shared" si="9"/>
        <v>5</v>
      </c>
      <c r="J37" s="9">
        <f t="shared" si="9"/>
        <v>5</v>
      </c>
      <c r="K37" s="9">
        <f t="shared" si="9"/>
        <v>5</v>
      </c>
      <c r="L37" s="9">
        <f t="shared" ref="L37:S37" si="10">L36-L35</f>
        <v>4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3</v>
      </c>
      <c r="Q37" s="21">
        <f t="shared" si="10"/>
        <v>5</v>
      </c>
      <c r="R37" s="9">
        <f t="shared" si="10"/>
        <v>6</v>
      </c>
      <c r="S37" s="9" t="e">
        <f t="shared" si="10"/>
        <v>#VALUE!</v>
      </c>
      <c r="T37" s="9" t="e">
        <f t="shared" si="9"/>
        <v>#VALUE!</v>
      </c>
      <c r="W37" s="10" t="s">
        <v>46</v>
      </c>
      <c r="X37" s="3">
        <f>SUM($AC$34:$AG$34)</f>
        <v>43</v>
      </c>
      <c r="AJ37" s="22"/>
    </row>
    <row r="38" spans="1:36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21"/>
      <c r="R38" s="9"/>
      <c r="S38" s="9"/>
      <c r="T38" s="9"/>
      <c r="W38" s="10" t="s">
        <v>47</v>
      </c>
      <c r="X38" s="3" t="e">
        <f>SUM(D36:T36)</f>
        <v>#VALUE!</v>
      </c>
      <c r="AJ38" s="22"/>
    </row>
    <row r="39" spans="1:36" x14ac:dyDescent="0.4">
      <c r="A39" s="1" t="s">
        <v>2</v>
      </c>
      <c r="B39" s="9"/>
      <c r="C39" s="9">
        <f t="shared" ref="C39:S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21">
        <f t="shared" si="11"/>
        <v>0</v>
      </c>
      <c r="R39" s="9">
        <f t="shared" si="11"/>
        <v>0</v>
      </c>
      <c r="S39" s="9">
        <f t="shared" si="11"/>
        <v>0</v>
      </c>
      <c r="T39" s="9">
        <f t="shared" ref="C39:T43" si="12">COUNTIF(T$2:T$32,$A39)</f>
        <v>0</v>
      </c>
      <c r="AJ39" s="22"/>
    </row>
    <row r="40" spans="1:36" x14ac:dyDescent="0.4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21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  <c r="AJ40" s="22"/>
    </row>
    <row r="41" spans="1:36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21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AJ41" s="22"/>
    </row>
    <row r="42" spans="1:36" x14ac:dyDescent="0.4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21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AJ42" s="22"/>
    </row>
    <row r="43" spans="1:36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21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  <c r="AJ43" s="22"/>
    </row>
    <row r="44" spans="1:36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2">
        <f t="shared" si="14"/>
        <v>0</v>
      </c>
      <c r="R44" s="1">
        <f t="shared" si="14"/>
        <v>0</v>
      </c>
      <c r="S44" s="1"/>
      <c r="T44" s="1">
        <f t="shared" si="13"/>
        <v>0</v>
      </c>
      <c r="AJ44" s="22"/>
    </row>
    <row r="45" spans="1:36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2">
        <f t="shared" si="16"/>
        <v>0</v>
      </c>
      <c r="R45" s="1">
        <f t="shared" si="16"/>
        <v>0</v>
      </c>
      <c r="S45" s="1"/>
      <c r="T45" s="1">
        <f t="shared" si="15"/>
        <v>0</v>
      </c>
      <c r="AJ45" s="22"/>
    </row>
    <row r="46" spans="1:36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2">
        <f t="shared" si="18"/>
        <v>0</v>
      </c>
      <c r="R46" s="1">
        <f t="shared" si="18"/>
        <v>0</v>
      </c>
      <c r="S46" s="1"/>
      <c r="T46" s="1">
        <f t="shared" si="17"/>
        <v>0</v>
      </c>
      <c r="AJ46" s="22"/>
    </row>
    <row r="47" spans="1:36" x14ac:dyDescent="0.4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2">
        <f t="shared" si="20"/>
        <v>0</v>
      </c>
      <c r="R47" s="1">
        <f t="shared" si="20"/>
        <v>0</v>
      </c>
      <c r="S47" s="1"/>
      <c r="T47" s="1">
        <f t="shared" si="19"/>
        <v>0</v>
      </c>
      <c r="AJ47" s="22"/>
    </row>
    <row r="48" spans="1:36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0.2857142857142857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25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  <c r="AJ48" s="23"/>
    </row>
    <row r="49" spans="1:36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1">COUNTIF(C$2:C$32,"x")/$B49</f>
        <v>0.26666666666666666</v>
      </c>
      <c r="D49" s="11">
        <f t="shared" si="21"/>
        <v>0.76666666666666672</v>
      </c>
      <c r="E49" s="11">
        <f t="shared" si="21"/>
        <v>0.53333333333333333</v>
      </c>
      <c r="F49" s="11">
        <f t="shared" si="21"/>
        <v>0.33333333333333331</v>
      </c>
      <c r="G49" s="11">
        <f t="shared" si="21"/>
        <v>0.13333333333333333</v>
      </c>
      <c r="H49" s="11">
        <f t="shared" si="21"/>
        <v>0.16666666666666666</v>
      </c>
      <c r="I49" s="11">
        <f t="shared" si="21"/>
        <v>0.5</v>
      </c>
      <c r="J49" s="11">
        <f t="shared" si="21"/>
        <v>0.23333333333333334</v>
      </c>
      <c r="K49" s="11">
        <f t="shared" si="21"/>
        <v>0.6</v>
      </c>
      <c r="L49" s="11">
        <f t="shared" si="21"/>
        <v>0.5</v>
      </c>
      <c r="M49" s="11">
        <f t="shared" si="21"/>
        <v>0.2</v>
      </c>
      <c r="N49" s="11">
        <f t="shared" si="21"/>
        <v>0.6</v>
      </c>
      <c r="O49" s="11">
        <f t="shared" si="21"/>
        <v>0.13333333333333333</v>
      </c>
      <c r="P49" s="11">
        <f t="shared" si="21"/>
        <v>0.46666666666666667</v>
      </c>
      <c r="Q49" s="25">
        <f t="shared" si="21"/>
        <v>0.3</v>
      </c>
      <c r="R49" s="11">
        <f t="shared" si="21"/>
        <v>0.2</v>
      </c>
      <c r="S49" s="11">
        <f t="shared" si="21"/>
        <v>0</v>
      </c>
      <c r="T49" s="11">
        <f t="shared" si="21"/>
        <v>0</v>
      </c>
      <c r="AJ49" s="22"/>
    </row>
    <row r="50" spans="1:36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26"/>
      <c r="R50" s="12" t="s">
        <v>40</v>
      </c>
      <c r="S50" s="12"/>
      <c r="T50" s="12" t="s">
        <v>44</v>
      </c>
      <c r="AJ50" s="22"/>
    </row>
    <row r="51" spans="1:36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26" t="s">
        <v>51</v>
      </c>
      <c r="R51" s="3" t="s">
        <v>52</v>
      </c>
      <c r="S51" s="12"/>
      <c r="AJ51" s="22"/>
    </row>
    <row r="52" spans="1:36" x14ac:dyDescent="0.4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26"/>
      <c r="R52" s="12"/>
      <c r="S52" s="12"/>
      <c r="T52" s="12"/>
    </row>
    <row r="53" spans="1:36" x14ac:dyDescent="0.4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26"/>
      <c r="R53" s="12"/>
      <c r="S53" s="12"/>
      <c r="T53" s="12"/>
    </row>
    <row r="54" spans="1:36" x14ac:dyDescent="0.4">
      <c r="C54" s="12"/>
    </row>
    <row r="57" spans="1:36" x14ac:dyDescent="0.4">
      <c r="C57" s="8"/>
    </row>
  </sheetData>
  <conditionalFormatting sqref="I8:S8 C4:C30 D4:S7 D8:G8 D9:S30 C31:S32 T2:T33 H8:H28 N5:N22 D7:D28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 T4:T33 C4:S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X1:X34 X39:X1048576 AD1:AD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34 W36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3 H8:H28 N5:N22 D7:D28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AI37 A37:V37 W38 AK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2017-08-24T14:15:41Z</dcterms:modified>
</cp:coreProperties>
</file>