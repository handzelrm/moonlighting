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h1YkBwaTMY0RuRhvFiQTvrtDc/4FCJe7bBuK/FsuMmYCfGDqKO6PKNBk6ZFDLcEBEXPH0J2W9uSn9XNnvbZtRA==" workbookSaltValue="Qs0roQn94Vg3/6QLLdYfWg==" workbookSpinCount="100000" lockStructure="1"/>
  <bookViews>
    <workbookView xWindow="0" yWindow="0" windowWidth="15617" windowHeight="3634" xr2:uid="{00000000-000D-0000-FFFF-FFFF00000000}"/>
  </bookViews>
  <sheets>
    <sheet name="February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30" i="5" l="1"/>
  <c r="AB30" i="5"/>
  <c r="AA31" i="5"/>
  <c r="AB31" i="5"/>
  <c r="AA32" i="5"/>
  <c r="AB32" i="5"/>
  <c r="AA33" i="5"/>
  <c r="AB33" i="5"/>
  <c r="AA34" i="5"/>
  <c r="AB34" i="5"/>
  <c r="AB1" i="5"/>
  <c r="AC2" i="3"/>
  <c r="AB2" i="5"/>
  <c r="AB3" i="5"/>
  <c r="AB4" i="5"/>
  <c r="AB5" i="5"/>
  <c r="AB6" i="5"/>
  <c r="AB7" i="5"/>
  <c r="AB8" i="5"/>
  <c r="AB9" i="5"/>
  <c r="AB10" i="5"/>
  <c r="AB11" i="5"/>
  <c r="AB12" i="5"/>
  <c r="AB15" i="5"/>
  <c r="AC16" i="3"/>
  <c r="AB16" i="5"/>
  <c r="AB17" i="5"/>
  <c r="AB18" i="5"/>
  <c r="AC19" i="3"/>
  <c r="AB19" i="5"/>
  <c r="AB20" i="5"/>
  <c r="AB21" i="5"/>
  <c r="AB25" i="5"/>
  <c r="AB26" i="5"/>
  <c r="AB27" i="5"/>
  <c r="AB28" i="5"/>
  <c r="AB29" i="5"/>
  <c r="AB2" i="3"/>
  <c r="AA2" i="5"/>
  <c r="AA3" i="5"/>
  <c r="AA4" i="5"/>
  <c r="AA5" i="5"/>
  <c r="AA6" i="5"/>
  <c r="AA7" i="5"/>
  <c r="AA8" i="5"/>
  <c r="AA9" i="5"/>
  <c r="AA10" i="5"/>
  <c r="AA11" i="5"/>
  <c r="AA12" i="5"/>
  <c r="AA15" i="5"/>
  <c r="AB16" i="3"/>
  <c r="AA16" i="5"/>
  <c r="AA17" i="5"/>
  <c r="AA18" i="5"/>
  <c r="AB19" i="3"/>
  <c r="AA19" i="5"/>
  <c r="AA20" i="5"/>
  <c r="AA21" i="5"/>
  <c r="AA25" i="5"/>
  <c r="AA26" i="5"/>
  <c r="AA27" i="5"/>
  <c r="AA28" i="5"/>
  <c r="AA29" i="5"/>
  <c r="M29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M32" i="5"/>
  <c r="AK34" i="3"/>
  <c r="AC3" i="3"/>
  <c r="AC4" i="3"/>
  <c r="AC5" i="3"/>
  <c r="AC6" i="3"/>
  <c r="AC7" i="3"/>
  <c r="AC8" i="3"/>
  <c r="AC9" i="3"/>
  <c r="AC10" i="3"/>
  <c r="AC11" i="3"/>
  <c r="AC12" i="3"/>
  <c r="AC13" i="3"/>
  <c r="AB13" i="5"/>
  <c r="AC14" i="3"/>
  <c r="AB14" i="5"/>
  <c r="AC15" i="3"/>
  <c r="AC17" i="3"/>
  <c r="AC18" i="3"/>
  <c r="AC20" i="3"/>
  <c r="AC21" i="3"/>
  <c r="AC22" i="3"/>
  <c r="AB22" i="5"/>
  <c r="AC23" i="3"/>
  <c r="AB23" i="5"/>
  <c r="AC24" i="3"/>
  <c r="AB24" i="5"/>
  <c r="AC25" i="3"/>
  <c r="AC26" i="3"/>
  <c r="AC27" i="3"/>
  <c r="AC28" i="3"/>
  <c r="AC29" i="3"/>
  <c r="AC30" i="3"/>
  <c r="AC31" i="3"/>
  <c r="AC32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5" i="3"/>
  <c r="U46" i="3"/>
  <c r="Q35" i="3"/>
  <c r="R35" i="3"/>
  <c r="S35" i="3"/>
  <c r="T35" i="3"/>
  <c r="U35" i="3"/>
  <c r="U36" i="3"/>
  <c r="U47" i="3"/>
  <c r="U37" i="3"/>
  <c r="W3" i="3"/>
  <c r="V3" i="5"/>
  <c r="W4" i="3"/>
  <c r="V4" i="5"/>
  <c r="W5" i="3"/>
  <c r="V5" i="5"/>
  <c r="W6" i="3"/>
  <c r="V6" i="5"/>
  <c r="W7" i="3"/>
  <c r="V7" i="5"/>
  <c r="W8" i="3"/>
  <c r="V8" i="5"/>
  <c r="W9" i="3"/>
  <c r="V9" i="5"/>
  <c r="W10" i="3"/>
  <c r="V10" i="5"/>
  <c r="W11" i="3"/>
  <c r="V11" i="5"/>
  <c r="W12" i="3"/>
  <c r="V12" i="5"/>
  <c r="W13" i="3"/>
  <c r="V13" i="5"/>
  <c r="W14" i="3"/>
  <c r="V14" i="5"/>
  <c r="W15" i="3"/>
  <c r="V15" i="5"/>
  <c r="W16" i="3"/>
  <c r="V16" i="5"/>
  <c r="W17" i="3"/>
  <c r="V17" i="5"/>
  <c r="W18" i="3"/>
  <c r="V18" i="5"/>
  <c r="W19" i="3"/>
  <c r="V19" i="5"/>
  <c r="W20" i="3"/>
  <c r="V20" i="5"/>
  <c r="W21" i="3"/>
  <c r="V21" i="5"/>
  <c r="W22" i="3"/>
  <c r="V22" i="5"/>
  <c r="W23" i="3"/>
  <c r="V23" i="5"/>
  <c r="W24" i="3"/>
  <c r="V24" i="5"/>
  <c r="W25" i="3"/>
  <c r="V25" i="5"/>
  <c r="W26" i="3"/>
  <c r="V26" i="5"/>
  <c r="W27" i="3"/>
  <c r="V27" i="5"/>
  <c r="W28" i="3"/>
  <c r="V28" i="5"/>
  <c r="W29" i="3"/>
  <c r="V29" i="5"/>
  <c r="W30" i="3"/>
  <c r="V30" i="5"/>
  <c r="W31" i="3"/>
  <c r="V31" i="5"/>
  <c r="W2" i="3"/>
  <c r="V2" i="5"/>
  <c r="W32" i="3"/>
  <c r="V32" i="5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B4" i="3"/>
  <c r="AB5" i="3"/>
  <c r="AB6" i="3"/>
  <c r="AB7" i="3"/>
  <c r="AB8" i="3"/>
  <c r="AB9" i="3"/>
  <c r="AB10" i="3"/>
  <c r="AB11" i="3"/>
  <c r="AB12" i="3"/>
  <c r="AB13" i="3"/>
  <c r="AA13" i="5"/>
  <c r="AB14" i="3"/>
  <c r="AA14" i="5"/>
  <c r="AB15" i="3"/>
  <c r="AB17" i="3"/>
  <c r="AB18" i="3"/>
  <c r="AB20" i="3"/>
  <c r="AB21" i="3"/>
  <c r="AB22" i="3"/>
  <c r="AA22" i="5"/>
  <c r="AB23" i="3"/>
  <c r="AA23" i="5"/>
  <c r="AB24" i="3"/>
  <c r="AA24" i="5"/>
  <c r="AB25" i="3"/>
  <c r="AB26" i="3"/>
  <c r="AB27" i="3"/>
  <c r="AB28" i="3"/>
  <c r="AB29" i="3"/>
  <c r="AB30" i="3"/>
  <c r="AB31" i="3"/>
  <c r="B48" i="3"/>
  <c r="U48" i="3"/>
  <c r="B49" i="3"/>
  <c r="K49" i="3"/>
  <c r="V33" i="5"/>
  <c r="W33" i="5"/>
  <c r="V34" i="5"/>
  <c r="W34" i="5"/>
  <c r="V35" i="5"/>
  <c r="W35" i="5"/>
  <c r="S36" i="3"/>
  <c r="S37" i="3"/>
  <c r="S1" i="5"/>
  <c r="T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32" i="5"/>
  <c r="E32" i="5"/>
  <c r="F32" i="5"/>
  <c r="G32" i="5"/>
  <c r="H32" i="5"/>
  <c r="I32" i="5"/>
  <c r="J32" i="5"/>
  <c r="K32" i="5"/>
  <c r="L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X3" i="3"/>
  <c r="W3" i="5"/>
  <c r="Y3" i="3"/>
  <c r="X3" i="5"/>
  <c r="Z3" i="3"/>
  <c r="Y3" i="5"/>
  <c r="AA3" i="3"/>
  <c r="Z3" i="5"/>
  <c r="X4" i="3"/>
  <c r="W4" i="5"/>
  <c r="Y4" i="3"/>
  <c r="X4" i="5"/>
  <c r="Z4" i="3"/>
  <c r="Y4" i="5"/>
  <c r="AA4" i="3"/>
  <c r="Z4" i="5"/>
  <c r="X5" i="3"/>
  <c r="W5" i="5"/>
  <c r="Y5" i="3"/>
  <c r="X5" i="5"/>
  <c r="Z5" i="3"/>
  <c r="Y5" i="5"/>
  <c r="AA5" i="3"/>
  <c r="Z5" i="5"/>
  <c r="X6" i="3"/>
  <c r="W6" i="5"/>
  <c r="Y6" i="3"/>
  <c r="X6" i="5"/>
  <c r="Z6" i="3"/>
  <c r="Y6" i="5"/>
  <c r="AA6" i="3"/>
  <c r="Z6" i="5"/>
  <c r="X7" i="3"/>
  <c r="W7" i="5"/>
  <c r="Y7" i="3"/>
  <c r="X7" i="5"/>
  <c r="Z7" i="3"/>
  <c r="Y7" i="5"/>
  <c r="AA7" i="3"/>
  <c r="Z7" i="5"/>
  <c r="X8" i="3"/>
  <c r="W8" i="5"/>
  <c r="Y8" i="3"/>
  <c r="X8" i="5"/>
  <c r="Z8" i="3"/>
  <c r="Y8" i="5"/>
  <c r="AA8" i="3"/>
  <c r="Z8" i="5"/>
  <c r="X9" i="3"/>
  <c r="W9" i="5"/>
  <c r="Y9" i="3"/>
  <c r="X9" i="5"/>
  <c r="Z9" i="3"/>
  <c r="Y9" i="5"/>
  <c r="AA9" i="3"/>
  <c r="Z9" i="5"/>
  <c r="X10" i="3"/>
  <c r="W10" i="5"/>
  <c r="Y10" i="3"/>
  <c r="X10" i="5"/>
  <c r="Z10" i="3"/>
  <c r="Y10" i="5"/>
  <c r="AA10" i="3"/>
  <c r="Z10" i="5"/>
  <c r="X11" i="3"/>
  <c r="W11" i="5"/>
  <c r="Y11" i="3"/>
  <c r="X11" i="5"/>
  <c r="Z11" i="3"/>
  <c r="Y11" i="5"/>
  <c r="AA11" i="3"/>
  <c r="Z11" i="5"/>
  <c r="Y12" i="3"/>
  <c r="X12" i="5"/>
  <c r="Z12" i="3"/>
  <c r="Y12" i="5"/>
  <c r="AA12" i="3"/>
  <c r="Z12" i="5"/>
  <c r="X13" i="3"/>
  <c r="W13" i="5"/>
  <c r="Y13" i="3"/>
  <c r="X13" i="5"/>
  <c r="Z13" i="3"/>
  <c r="Y13" i="5"/>
  <c r="AA13" i="3"/>
  <c r="Z13" i="5"/>
  <c r="X14" i="3"/>
  <c r="W14" i="5"/>
  <c r="Y14" i="3"/>
  <c r="X14" i="5"/>
  <c r="Z14" i="3"/>
  <c r="Y14" i="5"/>
  <c r="AA14" i="3"/>
  <c r="Z14" i="5"/>
  <c r="X15" i="3"/>
  <c r="W15" i="5"/>
  <c r="Y15" i="3"/>
  <c r="X15" i="5"/>
  <c r="Z15" i="3"/>
  <c r="Y15" i="5"/>
  <c r="AA15" i="3"/>
  <c r="Z15" i="5"/>
  <c r="X16" i="3"/>
  <c r="W16" i="5"/>
  <c r="Y16" i="3"/>
  <c r="X16" i="5"/>
  <c r="Z16" i="3"/>
  <c r="Y16" i="5"/>
  <c r="AA16" i="3"/>
  <c r="Z16" i="5"/>
  <c r="X17" i="3"/>
  <c r="W17" i="5"/>
  <c r="Y17" i="3"/>
  <c r="X17" i="5"/>
  <c r="Z17" i="3"/>
  <c r="Y17" i="5"/>
  <c r="AA17" i="3"/>
  <c r="Z17" i="5"/>
  <c r="X18" i="3"/>
  <c r="W18" i="5"/>
  <c r="Y18" i="3"/>
  <c r="X18" i="5"/>
  <c r="Z18" i="3"/>
  <c r="Y18" i="5"/>
  <c r="AA18" i="3"/>
  <c r="Z18" i="5"/>
  <c r="X19" i="3"/>
  <c r="W19" i="5"/>
  <c r="Y19" i="3"/>
  <c r="X19" i="5"/>
  <c r="Z19" i="3"/>
  <c r="Y19" i="5"/>
  <c r="AA19" i="3"/>
  <c r="Z19" i="5"/>
  <c r="X20" i="3"/>
  <c r="W20" i="5"/>
  <c r="Y20" i="3"/>
  <c r="X20" i="5"/>
  <c r="Z20" i="3"/>
  <c r="Y20" i="5"/>
  <c r="AA20" i="3"/>
  <c r="Z20" i="5"/>
  <c r="X21" i="3"/>
  <c r="W21" i="5"/>
  <c r="Y21" i="3"/>
  <c r="X21" i="5"/>
  <c r="Z21" i="3"/>
  <c r="Y21" i="5"/>
  <c r="AA21" i="3"/>
  <c r="Z21" i="5"/>
  <c r="X22" i="3"/>
  <c r="W22" i="5"/>
  <c r="Y22" i="3"/>
  <c r="X22" i="5"/>
  <c r="Z22" i="3"/>
  <c r="Y22" i="5"/>
  <c r="AA22" i="3"/>
  <c r="Z22" i="5"/>
  <c r="X23" i="3"/>
  <c r="W23" i="5"/>
  <c r="Y23" i="3"/>
  <c r="X23" i="5"/>
  <c r="Z23" i="3"/>
  <c r="Y23" i="5"/>
  <c r="AA23" i="3"/>
  <c r="Z23" i="5"/>
  <c r="X24" i="3"/>
  <c r="W24" i="5"/>
  <c r="Y24" i="3"/>
  <c r="X24" i="5"/>
  <c r="Z24" i="3"/>
  <c r="Y24" i="5"/>
  <c r="AA24" i="3"/>
  <c r="Z24" i="5"/>
  <c r="X25" i="3"/>
  <c r="W25" i="5"/>
  <c r="Y25" i="3"/>
  <c r="X25" i="5"/>
  <c r="Z25" i="3"/>
  <c r="Y25" i="5"/>
  <c r="AA25" i="3"/>
  <c r="Z25" i="5"/>
  <c r="X26" i="3"/>
  <c r="W26" i="5"/>
  <c r="Y26" i="3"/>
  <c r="X26" i="5"/>
  <c r="Z26" i="3"/>
  <c r="Y26" i="5"/>
  <c r="AA26" i="3"/>
  <c r="Z26" i="5"/>
  <c r="X27" i="3"/>
  <c r="W27" i="5"/>
  <c r="Y27" i="3"/>
  <c r="X27" i="5"/>
  <c r="Z27" i="3"/>
  <c r="Y27" i="5"/>
  <c r="AA27" i="3"/>
  <c r="Z27" i="5"/>
  <c r="X28" i="3"/>
  <c r="W28" i="5"/>
  <c r="Y28" i="3"/>
  <c r="X28" i="5"/>
  <c r="Z28" i="3"/>
  <c r="Y28" i="5"/>
  <c r="AA28" i="3"/>
  <c r="Z28" i="5"/>
  <c r="X29" i="3"/>
  <c r="W29" i="5"/>
  <c r="Y29" i="3"/>
  <c r="X29" i="5"/>
  <c r="Z29" i="3"/>
  <c r="Y29" i="5"/>
  <c r="AA29" i="3"/>
  <c r="Z29" i="5"/>
  <c r="X30" i="3"/>
  <c r="W30" i="5"/>
  <c r="Y30" i="3"/>
  <c r="X30" i="5"/>
  <c r="Z30" i="3"/>
  <c r="Y30" i="5"/>
  <c r="AA30" i="3"/>
  <c r="Z30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/>
  <c r="F36" i="3"/>
  <c r="H36" i="3"/>
  <c r="I36" i="3"/>
  <c r="J36" i="3"/>
  <c r="K36" i="3"/>
  <c r="C36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/>
  <c r="Y32" i="3"/>
  <c r="X32" i="5"/>
  <c r="Z32" i="3"/>
  <c r="Y32" i="5"/>
  <c r="AA32" i="3"/>
  <c r="Z32" i="5"/>
  <c r="I35" i="5"/>
  <c r="N49" i="3"/>
  <c r="C49" i="3"/>
  <c r="P49" i="3"/>
  <c r="H49" i="3"/>
  <c r="C48" i="3"/>
  <c r="K48" i="3"/>
  <c r="T49" i="3"/>
  <c r="M48" i="3"/>
  <c r="J49" i="3"/>
  <c r="R49" i="3"/>
  <c r="E49" i="3"/>
  <c r="M49" i="3"/>
  <c r="T48" i="3"/>
  <c r="D49" i="3"/>
  <c r="I49" i="3"/>
  <c r="I48" i="3"/>
  <c r="Q48" i="3"/>
  <c r="F49" i="3"/>
  <c r="P48" i="3"/>
  <c r="G49" i="3"/>
  <c r="H48" i="3"/>
  <c r="O48" i="3"/>
  <c r="E48" i="3"/>
  <c r="N48" i="3"/>
  <c r="G48" i="3"/>
  <c r="L49" i="3"/>
  <c r="J48" i="3"/>
  <c r="D48" i="3"/>
  <c r="L48" i="3"/>
  <c r="F48" i="3"/>
  <c r="O49" i="3"/>
  <c r="Q49" i="3"/>
  <c r="R48" i="3"/>
  <c r="S49" i="3"/>
  <c r="U49" i="3"/>
  <c r="S48" i="3"/>
  <c r="X38" i="3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<sst xmlns="http://schemas.openxmlformats.org/spreadsheetml/2006/main" count="538" uniqueCount="70">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</sst>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3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9" sqref="M19"/>
    </sheetView>
  </sheetViews>
  <sheetFormatPr defaultColWidth="9.3046875" defaultRowHeight="14.6" x14ac:dyDescent="0.4"/>
  <cols>
    <col min="1" max="1" width="11" style="27" customWidth="1"/>
    <col min="2" max="2" width="5.53515625" style="27" bestFit="1" customWidth="1"/>
    <col min="3" max="3" width="9.3046875" style="27" customWidth="1"/>
    <col min="4" max="4" width="14.53515625" style="27" bestFit="1" customWidth="1"/>
    <col min="5" max="5" width="9.3046875" style="27" customWidth="1"/>
    <col min="6" max="6" width="12.15234375" style="27" bestFit="1" customWidth="1"/>
    <col min="7" max="7" width="9.3046875" style="27" customWidth="1"/>
    <col min="8" max="8" width="9.69140625" style="27" bestFit="1" customWidth="1"/>
    <col min="9" max="12" width="9.3046875" style="27" customWidth="1"/>
    <col min="13" max="13" width="13.84375" style="27" bestFit="1" customWidth="1"/>
    <col min="14" max="14" width="10.3046875" style="27" bestFit="1" customWidth="1"/>
    <col min="15" max="17" width="9.3046875" style="27" customWidth="1"/>
    <col min="18" max="18" width="10.3828125" style="27" bestFit="1" customWidth="1"/>
    <col min="19" max="20" width="9.3046875" style="27" customWidth="1"/>
    <col min="21" max="21" width="8.53515625" style="27" customWidth="1"/>
    <col min="22" max="26" width="16.84375" style="27" bestFit="1" customWidth="1"/>
    <col min="27" max="27" width="9.3046875" style="27" hidden="1" customWidth="1"/>
    <col min="28" max="16384" width="9.3046875" style="27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  <c r="AB1" s="27" t="str">
        <f>IF(ISBLANK(Master!AC1),"",Master!AC1)</f>
        <v>VASC</v>
      </c>
    </row>
    <row r="2" spans="1:28" x14ac:dyDescent="0.4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/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/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  <c r="AB2" s="27" t="str">
        <f>IF(ISBLANK(Master!AC2),"",Master!AC2)</f>
        <v/>
      </c>
    </row>
    <row r="3" spans="1:28" x14ac:dyDescent="0.4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  <c r="AB3" s="27" t="str">
        <f>IF(ISBLANK(Master!AC3),"",Master!AC3)</f>
        <v/>
      </c>
    </row>
    <row r="4" spans="1:28" x14ac:dyDescent="0.4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  <c r="AB4" s="27" t="str">
        <f>IF(ISBLANK(Master!AC4),"",Master!AC4)</f>
        <v/>
      </c>
    </row>
    <row r="5" spans="1:28" x14ac:dyDescent="0.4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  <c r="AB5" s="27" t="str">
        <f>IF(ISBLANK(Master!AC5),"",Master!AC5)</f>
        <v/>
      </c>
    </row>
    <row r="6" spans="1:28" x14ac:dyDescent="0.4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  <c r="AB6" s="27" t="str">
        <f>IF(ISBLANK(Master!AC6),"",Master!AC6)</f>
        <v/>
      </c>
    </row>
    <row r="7" spans="1:28" x14ac:dyDescent="0.4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  <c r="AB7" s="27" t="str">
        <f>IF(ISBLANK(Master!AC7),"",Master!AC7)</f>
        <v/>
      </c>
    </row>
    <row r="8" spans="1:28" x14ac:dyDescent="0.4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  <c r="AB8" s="27" t="str">
        <f>IF(ISBLANK(Master!AC8),"",Master!AC8)</f>
        <v/>
      </c>
    </row>
    <row r="9" spans="1:28" x14ac:dyDescent="0.4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  <c r="AB9" s="27" t="str">
        <f>IF(ISBLANK(Master!AC9),"",Master!AC9)</f>
        <v/>
      </c>
    </row>
    <row r="10" spans="1:28" x14ac:dyDescent="0.4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  <c r="AB10" s="27" t="str">
        <f>IF(ISBLANK(Master!AC10),"",Master!AC10)</f>
        <v/>
      </c>
    </row>
    <row r="11" spans="1:28" x14ac:dyDescent="0.4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  <c r="AB11" s="27" t="str">
        <f>IF(ISBLANK(Master!AC11),"",Master!AC11)</f>
        <v/>
      </c>
    </row>
    <row r="12" spans="1:28" x14ac:dyDescent="0.4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  <c r="AB12" s="27" t="str">
        <f>IF(ISBLANK(Master!AC12),"",Master!AC12)</f>
        <v/>
      </c>
    </row>
    <row r="13" spans="1:28" x14ac:dyDescent="0.4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>SHY</v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Yeh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  <c r="AB13" s="27" t="str">
        <f>IF(ISBLANK(Master!AC13),"",Master!AC13)</f>
        <v/>
      </c>
    </row>
    <row r="14" spans="1:28" x14ac:dyDescent="0.4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/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>Trauma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Dadashzadeh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  <c r="AB14" s="27" t="str">
        <f>IF(ISBLANK(Master!AC14),"",Master!AC14)</f>
        <v/>
      </c>
    </row>
    <row r="15" spans="1:28" x14ac:dyDescent="0.4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  <c r="AB15" s="27" t="str">
        <f>IF(ISBLANK(Master!AC15),"",Master!AC15)</f>
        <v/>
      </c>
    </row>
    <row r="16" spans="1:28" x14ac:dyDescent="0.4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>Gallagher</v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  <c r="AB16" s="27" t="str">
        <f>IF(ISBLANK(Master!AC16),"",Master!AC16)</f>
        <v/>
      </c>
    </row>
    <row r="17" spans="1:28" x14ac:dyDescent="0.4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  <c r="AB17" s="27" t="str">
        <f>IF(ISBLANK(Master!AC17),"",Master!AC17)</f>
        <v>Huckaby</v>
      </c>
    </row>
    <row r="18" spans="1:28" x14ac:dyDescent="0.4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  <c r="AB18" s="27" t="str">
        <f>IF(ISBLANK(Master!AC18),"",Master!AC18)</f>
        <v/>
      </c>
    </row>
    <row r="19" spans="1:28" x14ac:dyDescent="0.4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Trauma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>Dadashzadeh</v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  <c r="AB19" s="27" t="str">
        <f>IF(ISBLANK(Master!AC19),"",Master!AC19)</f>
        <v/>
      </c>
    </row>
    <row r="20" spans="1:28" x14ac:dyDescent="0.4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  <c r="AB20" s="27" t="str">
        <f>IF(ISBLANK(Master!AC20),"",Master!AC20)</f>
        <v/>
      </c>
    </row>
    <row r="21" spans="1:28" x14ac:dyDescent="0.4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  <c r="AB21" s="27" t="str">
        <f>IF(ISBLANK(Master!AC21),"",Master!AC21)</f>
        <v/>
      </c>
    </row>
    <row r="22" spans="1:28" x14ac:dyDescent="0.4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  <c r="AB22" s="27" t="str">
        <f>IF(ISBLANK(Master!AC22),"",Master!AC22)</f>
        <v/>
      </c>
    </row>
    <row r="23" spans="1:28" x14ac:dyDescent="0.4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  <c r="AB23" s="27" t="str">
        <f>IF(ISBLANK(Master!AC23),"",Master!AC23)</f>
        <v/>
      </c>
    </row>
    <row r="24" spans="1:28" x14ac:dyDescent="0.4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  <c r="AB24" s="27" t="str">
        <f>IF(ISBLANK(Master!AC24),"",Master!AC24)</f>
        <v/>
      </c>
    </row>
    <row r="25" spans="1:28" x14ac:dyDescent="0.4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  <c r="AB25" s="27" t="str">
        <f>IF(ISBLANK(Master!AC25),"",Master!AC25)</f>
        <v/>
      </c>
    </row>
    <row r="26" spans="1:28" x14ac:dyDescent="0.4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IF(ISBLANK(Master!M26),"",Master!M26)</f>
        <v/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  <c r="AB26" s="27" t="str">
        <f>IF(ISBLANK(Master!AC26),"",Master!AC26)</f>
        <v/>
      </c>
    </row>
    <row r="27" spans="1:28" x14ac:dyDescent="0.4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IF(ISBLANK(Master!M27),"",Master!M27)</f>
        <v>Trauma</v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  <c r="AB27" s="27" t="str">
        <f>IF(ISBLANK(Master!AC27),"",Master!AC27)</f>
        <v/>
      </c>
    </row>
    <row r="28" spans="1:28" x14ac:dyDescent="0.4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  <c r="AB28" s="27" t="str">
        <f>IF(ISBLANK(Master!AC28),"",Master!AC28)</f>
        <v/>
      </c>
    </row>
    <row r="29" spans="1:28" x14ac:dyDescent="0.4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/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  <c r="AB29" s="27" t="str">
        <f>IF(ISBLANK(Master!AC29),"",Master!AC29)</f>
        <v/>
      </c>
    </row>
    <row r="30" spans="1:28" x14ac:dyDescent="0.4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  <c r="AB30" s="27" t="str">
        <f>IF(ISBLANK(Master!AC30),"",Master!AC30)</f>
        <v/>
      </c>
    </row>
    <row r="31" spans="1:28" x14ac:dyDescent="0.4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  <c r="AB31" s="27" t="str">
        <f>IF(ISBLANK(Master!AC31),"",Master!AC31)</f>
        <v/>
      </c>
    </row>
    <row r="32" spans="1:28" x14ac:dyDescent="0.4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  <c r="AA32" s="27" t="str">
        <f>IF(ISBLANK(Master!AB32),"",Master!AB32)</f>
        <v/>
      </c>
      <c r="AB32" s="27" t="str">
        <f>IF(ISBLANK(Master!AC32),"",Master!AC32)</f>
        <v/>
      </c>
    </row>
    <row r="33" spans="1:28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  <c r="AA33" s="27" t="str">
        <f>IF(ISBLANK(Master!AB33),"",Master!AB33)</f>
        <v/>
      </c>
      <c r="AB33" s="27" t="str">
        <f>IF(ISBLANK(Master!AC33),"",Master!AC33)</f>
        <v/>
      </c>
    </row>
    <row r="34" spans="1:28" x14ac:dyDescent="0.4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  <c r="AA34" s="27" t="str">
        <f>IF(ISBLANK(Master!AB34),"",Master!AB34)</f>
        <v/>
      </c>
      <c r="AB34" s="27" t="str">
        <f>IF(ISBLANK(Master!AC34),"",Master!AC34)</f>
        <v/>
      </c>
    </row>
    <row r="35" spans="1:28" x14ac:dyDescent="0.4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5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6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5VahW1Vqz3oisBgMR4ODA92cD+sd/nBydORj7qioVsb3jcBX+pD863y7Wo9ykco8Q1t/L3NSJ41Q+aebqfxUKA==" saltValue="EBShUqtTkrX0vgrrlwDU/Q==" spinCount="100000" sheet="1" objects="1" scenarios="1"/>
  <conditionalFormatting sqref="V1:V1048576">
    <cfRule type="notContainsBlanks" dxfId="52" priority="10">
      <formula>LEN(TRIM(V1))&gt;0</formula>
    </cfRule>
  </conditionalFormatting>
  <conditionalFormatting sqref="W1:W1048576">
    <cfRule type="notContainsBlanks" dxfId="51" priority="9">
      <formula>LEN(TRIM(W1))&gt;0</formula>
    </cfRule>
  </conditionalFormatting>
  <conditionalFormatting sqref="X1:Y1048576">
    <cfRule type="notContainsBlanks" dxfId="50" priority="8">
      <formula>LEN(TRIM(X1))&gt;0</formula>
    </cfRule>
  </conditionalFormatting>
  <conditionalFormatting sqref="C2:U32">
    <cfRule type="cellIs" dxfId="49" priority="118" operator="equal">
      <formula>$W$1</formula>
    </cfRule>
    <cfRule type="cellIs" dxfId="48" priority="119" operator="equal">
      <formula>$Y$1</formula>
    </cfRule>
    <cfRule type="cellIs" dxfId="47" priority="120" operator="equal">
      <formula>$X$1</formula>
    </cfRule>
    <cfRule type="cellIs" dxfId="46" priority="121" operator="equal">
      <formula>$Z$1</formula>
    </cfRule>
    <cfRule type="cellIs" dxfId="45" priority="122" operator="equal">
      <formula>$V$1</formula>
    </cfRule>
  </conditionalFormatting>
  <conditionalFormatting sqref="C2:T32">
    <cfRule type="cellIs" dxfId="44" priority="5" operator="equal">
      <formula>"6FG"</formula>
    </cfRule>
  </conditionalFormatting>
  <conditionalFormatting sqref="Z1:Z33">
    <cfRule type="notContainsBlanks" dxfId="43" priority="4">
      <formula>LEN(TRIM(Z1))&gt;0</formula>
    </cfRule>
  </conditionalFormatting>
  <conditionalFormatting sqref="AA1:AA32">
    <cfRule type="notContainsBlanks" dxfId="42" priority="3">
      <formula>LEN(TRIM(AA1))&gt;0</formula>
    </cfRule>
  </conditionalFormatting>
  <conditionalFormatting sqref="AB1:AB32">
    <cfRule type="notContainsBlanks" dxfId="41" priority="2">
      <formula>LEN(TRIM(AB1))&gt;0</formula>
    </cfRule>
  </conditionalFormatting>
  <conditionalFormatting sqref="C2:T31">
    <cfRule type="cellIs" dxfId="40" priority="1" operator="equal">
      <formula>$AB$1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N17" sqref="N1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7" width="7.84375" style="3" customWidth="1"/>
    <col min="8" max="8" width="7.84375" style="3" hidden="1" customWidth="1"/>
    <col min="9" max="13" width="7.84375" style="3" customWidth="1"/>
    <col min="14" max="14" width="7.84375" style="5" customWidth="1"/>
    <col min="15" max="18" width="7.84375" style="3" customWidth="1"/>
    <col min="19" max="20" width="7.84375" style="3" hidden="1" customWidth="1"/>
    <col min="21" max="21" width="8.15234375" style="3" hidden="1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16.84375" style="10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7.3046875" style="30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36" t="s">
        <v>0</v>
      </c>
      <c r="B1" s="22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4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4" t="s">
        <v>59</v>
      </c>
    </row>
    <row r="2" spans="1:39" x14ac:dyDescent="0.4">
      <c r="A2" s="1" t="s">
        <v>10</v>
      </c>
      <c r="B2" s="9">
        <v>1</v>
      </c>
      <c r="C2" s="1" t="s">
        <v>39</v>
      </c>
      <c r="D2" s="1" t="s">
        <v>39</v>
      </c>
      <c r="E2" s="1" t="s">
        <v>39</v>
      </c>
      <c r="F2" s="1" t="s">
        <v>39</v>
      </c>
      <c r="G2" s="1" t="s">
        <v>39</v>
      </c>
      <c r="H2" s="1" t="s">
        <v>39</v>
      </c>
      <c r="I2" s="1" t="s">
        <v>23</v>
      </c>
      <c r="J2" s="1">
        <v>0</v>
      </c>
      <c r="K2" s="1" t="s">
        <v>39</v>
      </c>
      <c r="L2" s="1" t="s">
        <v>39</v>
      </c>
      <c r="M2" s="1"/>
      <c r="N2" s="2" t="s">
        <v>39</v>
      </c>
      <c r="O2" s="1" t="s">
        <v>39</v>
      </c>
      <c r="P2" s="1" t="s">
        <v>39</v>
      </c>
      <c r="Q2" s="1" t="s">
        <v>39</v>
      </c>
      <c r="R2" s="1">
        <v>0</v>
      </c>
      <c r="S2" s="1" t="s">
        <v>39</v>
      </c>
      <c r="T2" s="1" t="s">
        <v>39</v>
      </c>
      <c r="U2" s="1" t="s">
        <v>39</v>
      </c>
      <c r="V2" s="3" t="s">
        <v>61</v>
      </c>
      <c r="W2" s="1" t="str">
        <f t="shared" ref="W2:W31" si="0">IF(ISBLANK(AE2),IF(COUNTIF($C2:$T2,W$1)&gt;0,"ERROR",""),IF(COUNTIF($C2:$T2,W$1)&lt;1,"NEEDS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ref="AB2:AB31" si="5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1" t="str">
        <f t="shared" ref="AC2:AC31" si="6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1"/>
      <c r="AE2" s="1"/>
      <c r="AF2" s="1" t="s">
        <v>39</v>
      </c>
      <c r="AG2" s="1"/>
      <c r="AH2" s="1"/>
      <c r="AI2" s="1" t="s">
        <v>39</v>
      </c>
      <c r="AK2" s="32"/>
      <c r="AL2" s="14"/>
      <c r="AM2" s="15"/>
    </row>
    <row r="3" spans="1:39" x14ac:dyDescent="0.4">
      <c r="A3" s="1" t="s">
        <v>5</v>
      </c>
      <c r="B3" s="9">
        <v>2</v>
      </c>
      <c r="C3" s="1"/>
      <c r="D3" s="1" t="s">
        <v>2</v>
      </c>
      <c r="E3" s="1" t="s">
        <v>39</v>
      </c>
      <c r="F3" s="1" t="s">
        <v>39</v>
      </c>
      <c r="G3" s="1"/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/>
      <c r="N3" s="2" t="s">
        <v>39</v>
      </c>
      <c r="O3" s="1" t="s">
        <v>39</v>
      </c>
      <c r="P3" s="1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si="0"/>
        <v>Van Der Windt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 t="str">
        <f t="shared" si="6"/>
        <v/>
      </c>
      <c r="AD3" s="1"/>
      <c r="AE3" s="1" t="s">
        <v>39</v>
      </c>
      <c r="AF3" s="1"/>
      <c r="AG3" s="1"/>
      <c r="AH3" s="1"/>
      <c r="AI3" s="1" t="s">
        <v>39</v>
      </c>
      <c r="AK3" s="32"/>
      <c r="AL3" s="16"/>
      <c r="AM3" s="15"/>
    </row>
    <row r="4" spans="1:39" x14ac:dyDescent="0.4">
      <c r="A4" s="1" t="s">
        <v>6</v>
      </c>
      <c r="B4" s="9">
        <v>3</v>
      </c>
      <c r="C4" s="1"/>
      <c r="D4" s="1"/>
      <c r="E4" s="1" t="s">
        <v>39</v>
      </c>
      <c r="F4" s="1" t="s">
        <v>39</v>
      </c>
      <c r="G4" s="1"/>
      <c r="H4" s="1" t="s">
        <v>39</v>
      </c>
      <c r="I4" s="1"/>
      <c r="J4" s="1" t="s">
        <v>39</v>
      </c>
      <c r="K4" s="1" t="s">
        <v>39</v>
      </c>
      <c r="L4" s="1" t="s">
        <v>2</v>
      </c>
      <c r="M4" s="1"/>
      <c r="N4" s="2" t="s">
        <v>39</v>
      </c>
      <c r="O4" s="1" t="s">
        <v>39</v>
      </c>
      <c r="P4" s="1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0"/>
        <v>Cyr</v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5"/>
        <v/>
      </c>
      <c r="AC4" s="1" t="str">
        <f t="shared" si="6"/>
        <v/>
      </c>
      <c r="AD4" s="1"/>
      <c r="AE4" s="1" t="s">
        <v>39</v>
      </c>
      <c r="AF4" s="1"/>
      <c r="AG4" s="1"/>
      <c r="AH4" s="1"/>
      <c r="AI4" s="1"/>
      <c r="AK4" s="32"/>
      <c r="AL4" s="17"/>
      <c r="AM4" s="15"/>
    </row>
    <row r="5" spans="1:39" x14ac:dyDescent="0.4">
      <c r="A5" s="1" t="s">
        <v>7</v>
      </c>
      <c r="B5" s="9">
        <v>4</v>
      </c>
      <c r="C5" s="1" t="s">
        <v>23</v>
      </c>
      <c r="D5" s="1"/>
      <c r="E5" s="1" t="s">
        <v>39</v>
      </c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1"/>
      <c r="N5" s="2" t="s">
        <v>39</v>
      </c>
      <c r="O5" s="1" t="s">
        <v>39</v>
      </c>
      <c r="P5" s="1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0"/>
        <v/>
      </c>
      <c r="X5" s="1" t="str">
        <f t="shared" si="1"/>
        <v>Dyer</v>
      </c>
      <c r="Y5" s="1" t="str">
        <f t="shared" si="2"/>
        <v/>
      </c>
      <c r="Z5" s="1" t="str">
        <f t="shared" si="3"/>
        <v>Nicholson</v>
      </c>
      <c r="AA5" s="1" t="str">
        <f t="shared" si="4"/>
        <v/>
      </c>
      <c r="AB5" s="1" t="str">
        <f t="shared" si="5"/>
        <v/>
      </c>
      <c r="AC5" s="1" t="str">
        <f t="shared" si="6"/>
        <v/>
      </c>
      <c r="AD5" s="1"/>
      <c r="AE5" s="1"/>
      <c r="AF5" s="1" t="s">
        <v>39</v>
      </c>
      <c r="AG5" s="1"/>
      <c r="AH5" s="1" t="s">
        <v>39</v>
      </c>
      <c r="AI5" s="1"/>
      <c r="AK5" s="32"/>
      <c r="AL5" s="17"/>
      <c r="AM5" s="15"/>
    </row>
    <row r="6" spans="1:39" x14ac:dyDescent="0.4">
      <c r="A6" s="1" t="s">
        <v>8</v>
      </c>
      <c r="B6" s="9">
        <v>5</v>
      </c>
      <c r="C6" s="1" t="s">
        <v>50</v>
      </c>
      <c r="D6" s="1"/>
      <c r="E6" s="1" t="s">
        <v>23</v>
      </c>
      <c r="F6" s="1"/>
      <c r="G6" s="1"/>
      <c r="H6" s="1" t="s">
        <v>39</v>
      </c>
      <c r="I6" s="1"/>
      <c r="J6" s="1"/>
      <c r="K6" s="1" t="s">
        <v>39</v>
      </c>
      <c r="L6" s="1"/>
      <c r="M6" s="1"/>
      <c r="N6" s="2" t="s">
        <v>3</v>
      </c>
      <c r="O6" s="1"/>
      <c r="P6" s="1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/>
      </c>
      <c r="AA6" s="1" t="str">
        <f t="shared" si="4"/>
        <v>Gallagher</v>
      </c>
      <c r="AB6" s="1" t="str">
        <f t="shared" si="5"/>
        <v/>
      </c>
      <c r="AC6" s="1" t="str">
        <f t="shared" si="6"/>
        <v/>
      </c>
      <c r="AD6" s="1"/>
      <c r="AE6" s="1"/>
      <c r="AF6" s="1" t="s">
        <v>39</v>
      </c>
      <c r="AG6" s="1"/>
      <c r="AH6" s="1"/>
      <c r="AI6" s="1" t="s">
        <v>39</v>
      </c>
      <c r="AK6" s="32"/>
      <c r="AL6" s="14"/>
      <c r="AM6" s="15"/>
    </row>
    <row r="7" spans="1:39" x14ac:dyDescent="0.4">
      <c r="A7" s="1" t="s">
        <v>9</v>
      </c>
      <c r="B7" s="9">
        <v>6</v>
      </c>
      <c r="C7" s="1"/>
      <c r="D7" s="1" t="s">
        <v>3</v>
      </c>
      <c r="E7" s="1" t="s">
        <v>39</v>
      </c>
      <c r="F7" s="1"/>
      <c r="G7" s="1" t="s">
        <v>23</v>
      </c>
      <c r="H7" s="1" t="s">
        <v>39</v>
      </c>
      <c r="I7" s="1" t="s">
        <v>22</v>
      </c>
      <c r="J7" s="1" t="s">
        <v>2</v>
      </c>
      <c r="K7" s="1" t="s">
        <v>39</v>
      </c>
      <c r="L7" s="1" t="s">
        <v>39</v>
      </c>
      <c r="M7" s="1"/>
      <c r="N7" s="2" t="s">
        <v>39</v>
      </c>
      <c r="O7" s="1"/>
      <c r="P7" s="1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0"/>
        <v>Siow</v>
      </c>
      <c r="X7" s="1" t="str">
        <f t="shared" si="1"/>
        <v>Handzel</v>
      </c>
      <c r="Y7" s="1" t="str">
        <f t="shared" si="2"/>
        <v>Okolo</v>
      </c>
      <c r="Z7" s="1" t="str">
        <f t="shared" si="3"/>
        <v/>
      </c>
      <c r="AA7" s="1" t="str">
        <f t="shared" si="4"/>
        <v>Van Der Windt</v>
      </c>
      <c r="AB7" s="1" t="str">
        <f t="shared" si="5"/>
        <v/>
      </c>
      <c r="AC7" s="1" t="str">
        <f t="shared" si="6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32"/>
      <c r="AL7" s="16"/>
      <c r="AM7" s="15"/>
    </row>
    <row r="8" spans="1:39" x14ac:dyDescent="0.4">
      <c r="A8" s="1" t="s">
        <v>4</v>
      </c>
      <c r="B8" s="9">
        <v>7</v>
      </c>
      <c r="C8" s="1"/>
      <c r="D8" s="1"/>
      <c r="E8" s="1"/>
      <c r="F8" s="1"/>
      <c r="G8" s="1" t="s">
        <v>39</v>
      </c>
      <c r="H8" s="1" t="s">
        <v>39</v>
      </c>
      <c r="I8" s="1"/>
      <c r="J8" s="1"/>
      <c r="K8" s="1" t="s">
        <v>39</v>
      </c>
      <c r="L8" s="1" t="s">
        <v>39</v>
      </c>
      <c r="M8" s="1"/>
      <c r="N8" s="2" t="s">
        <v>23</v>
      </c>
      <c r="O8" s="1"/>
      <c r="P8" s="1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5"/>
      <c r="W8" s="1" t="str">
        <f t="shared" si="0"/>
        <v/>
      </c>
      <c r="X8" s="1" t="str">
        <f t="shared" si="1"/>
        <v>Gallagher</v>
      </c>
      <c r="Y8" s="1" t="str">
        <f t="shared" si="2"/>
        <v/>
      </c>
      <c r="Z8" s="1" t="str">
        <f t="shared" si="3"/>
        <v/>
      </c>
      <c r="AA8" s="1" t="str">
        <f t="shared" si="4"/>
        <v>Kulkarni</v>
      </c>
      <c r="AB8" s="1" t="str">
        <f t="shared" si="5"/>
        <v/>
      </c>
      <c r="AC8" s="1" t="str">
        <f t="shared" si="6"/>
        <v/>
      </c>
      <c r="AD8" s="1"/>
      <c r="AE8" s="1"/>
      <c r="AF8" s="1" t="s">
        <v>39</v>
      </c>
      <c r="AG8" s="1"/>
      <c r="AH8" s="1"/>
      <c r="AI8" s="1" t="s">
        <v>39</v>
      </c>
      <c r="AK8" s="32"/>
      <c r="AL8" s="17"/>
      <c r="AM8" s="15"/>
    </row>
    <row r="9" spans="1:39" x14ac:dyDescent="0.4">
      <c r="A9" s="1" t="s">
        <v>10</v>
      </c>
      <c r="B9" s="9">
        <v>8</v>
      </c>
      <c r="C9" s="1"/>
      <c r="D9" s="1" t="s">
        <v>39</v>
      </c>
      <c r="E9" s="1"/>
      <c r="F9" s="1"/>
      <c r="G9" s="1" t="s">
        <v>39</v>
      </c>
      <c r="H9" s="1" t="s">
        <v>39</v>
      </c>
      <c r="I9" s="1"/>
      <c r="J9" s="1"/>
      <c r="K9" s="1" t="s">
        <v>23</v>
      </c>
      <c r="L9" s="1"/>
      <c r="M9" s="1"/>
      <c r="N9" s="2" t="s">
        <v>39</v>
      </c>
      <c r="O9" s="1" t="s">
        <v>3</v>
      </c>
      <c r="P9" s="1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0"/>
        <v/>
      </c>
      <c r="X9" s="1" t="str">
        <f t="shared" si="1"/>
        <v>Tam</v>
      </c>
      <c r="Y9" s="1" t="str">
        <f t="shared" si="2"/>
        <v/>
      </c>
      <c r="Z9" s="1" t="str">
        <f t="shared" si="3"/>
        <v/>
      </c>
      <c r="AA9" s="1" t="str">
        <f t="shared" si="4"/>
        <v>Huckaby</v>
      </c>
      <c r="AB9" s="1" t="str">
        <f t="shared" si="5"/>
        <v/>
      </c>
      <c r="AC9" s="1" t="str">
        <f t="shared" si="6"/>
        <v/>
      </c>
      <c r="AD9" s="1"/>
      <c r="AE9" s="1"/>
      <c r="AF9" s="1" t="s">
        <v>39</v>
      </c>
      <c r="AG9" s="1"/>
      <c r="AH9" s="1"/>
      <c r="AI9" s="1" t="s">
        <v>39</v>
      </c>
      <c r="AK9" s="32"/>
      <c r="AL9" s="17"/>
      <c r="AM9" s="15"/>
    </row>
    <row r="10" spans="1:39" x14ac:dyDescent="0.4">
      <c r="A10" s="1" t="s">
        <v>5</v>
      </c>
      <c r="B10" s="9">
        <v>9</v>
      </c>
      <c r="C10" s="1" t="s">
        <v>2</v>
      </c>
      <c r="D10" s="1"/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/>
      <c r="K10" s="1" t="s">
        <v>39</v>
      </c>
      <c r="L10" s="1" t="s">
        <v>3</v>
      </c>
      <c r="M10" s="1" t="s">
        <v>21</v>
      </c>
      <c r="N10" s="2"/>
      <c r="O10" s="1"/>
      <c r="P10" s="1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0"/>
        <v>Dyer</v>
      </c>
      <c r="X10" s="1" t="str">
        <f t="shared" si="1"/>
        <v/>
      </c>
      <c r="Y10" s="1" t="str">
        <f t="shared" si="2"/>
        <v/>
      </c>
      <c r="Z10" s="1" t="str">
        <f t="shared" si="3"/>
        <v>Dadashzadeh</v>
      </c>
      <c r="AA10" s="1" t="str">
        <f t="shared" si="4"/>
        <v>Cyr</v>
      </c>
      <c r="AB10" s="1" t="str">
        <f t="shared" si="5"/>
        <v/>
      </c>
      <c r="AC10" s="1" t="str">
        <f t="shared" si="6"/>
        <v/>
      </c>
      <c r="AD10" s="1"/>
      <c r="AE10" s="1" t="s">
        <v>39</v>
      </c>
      <c r="AF10" s="1"/>
      <c r="AG10" s="1"/>
      <c r="AH10" s="1" t="s">
        <v>39</v>
      </c>
      <c r="AI10" s="1" t="s">
        <v>39</v>
      </c>
      <c r="AK10" s="32"/>
      <c r="AL10" s="17"/>
      <c r="AM10" s="15"/>
    </row>
    <row r="11" spans="1:39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 t="s">
        <v>39</v>
      </c>
      <c r="H11" s="1" t="s">
        <v>39</v>
      </c>
      <c r="I11" s="1" t="s">
        <v>39</v>
      </c>
      <c r="J11" s="1"/>
      <c r="K11" s="1" t="s">
        <v>39</v>
      </c>
      <c r="L11" s="1"/>
      <c r="M11" s="1"/>
      <c r="N11" s="2"/>
      <c r="O11" s="1" t="s">
        <v>39</v>
      </c>
      <c r="P11" s="1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0"/>
        <v>Kulkarni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5"/>
        <v/>
      </c>
      <c r="AC11" s="1" t="str">
        <f t="shared" si="6"/>
        <v/>
      </c>
      <c r="AD11" s="1"/>
      <c r="AE11" s="1" t="s">
        <v>39</v>
      </c>
      <c r="AF11" s="1"/>
      <c r="AG11" s="1"/>
      <c r="AH11" s="1"/>
      <c r="AI11" s="1"/>
      <c r="AK11" s="32"/>
      <c r="AL11" s="16"/>
      <c r="AM11" s="15"/>
    </row>
    <row r="12" spans="1:39" x14ac:dyDescent="0.4">
      <c r="A12" s="1" t="s">
        <v>7</v>
      </c>
      <c r="B12" s="9">
        <v>11</v>
      </c>
      <c r="C12" s="1"/>
      <c r="D12" s="1"/>
      <c r="E12" s="1" t="s">
        <v>39</v>
      </c>
      <c r="F12" s="1"/>
      <c r="G12" s="1" t="s">
        <v>39</v>
      </c>
      <c r="H12" s="1" t="s">
        <v>39</v>
      </c>
      <c r="I12" s="1" t="s">
        <v>39</v>
      </c>
      <c r="J12" s="1" t="s">
        <v>23</v>
      </c>
      <c r="K12" s="1" t="s">
        <v>3</v>
      </c>
      <c r="L12" s="1"/>
      <c r="M12" s="1"/>
      <c r="N12" s="2"/>
      <c r="O12" s="1" t="s">
        <v>39</v>
      </c>
      <c r="P12" s="1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0"/>
        <v/>
      </c>
      <c r="X12" s="1" t="str">
        <f t="shared" si="1"/>
        <v>Siow</v>
      </c>
      <c r="Y12" s="1" t="str">
        <f t="shared" si="2"/>
        <v/>
      </c>
      <c r="Z12" s="1" t="str">
        <f t="shared" si="3"/>
        <v/>
      </c>
      <c r="AA12" s="1" t="str">
        <f t="shared" si="4"/>
        <v>Tam</v>
      </c>
      <c r="AB12" s="1" t="str">
        <f t="shared" si="5"/>
        <v/>
      </c>
      <c r="AC12" s="1" t="str">
        <f t="shared" si="6"/>
        <v/>
      </c>
      <c r="AD12" s="1"/>
      <c r="AE12" s="1"/>
      <c r="AF12" s="1" t="s">
        <v>39</v>
      </c>
      <c r="AG12" s="1"/>
      <c r="AH12" s="1"/>
      <c r="AI12" s="1" t="s">
        <v>39</v>
      </c>
      <c r="AK12" s="32"/>
      <c r="AL12" s="17"/>
      <c r="AM12" s="15"/>
    </row>
    <row r="13" spans="1:39" x14ac:dyDescent="0.4">
      <c r="A13" s="1" t="s">
        <v>8</v>
      </c>
      <c r="B13" s="9">
        <v>12</v>
      </c>
      <c r="C13" s="1" t="s">
        <v>50</v>
      </c>
      <c r="D13" s="29" t="s">
        <v>22</v>
      </c>
      <c r="E13" s="1" t="s">
        <v>23</v>
      </c>
      <c r="F13" s="1"/>
      <c r="G13" s="1" t="s">
        <v>3</v>
      </c>
      <c r="H13" s="1" t="s">
        <v>39</v>
      </c>
      <c r="I13" s="1"/>
      <c r="J13" s="1"/>
      <c r="K13" s="1" t="s">
        <v>39</v>
      </c>
      <c r="L13" s="1"/>
      <c r="M13" s="1"/>
      <c r="N13" s="2"/>
      <c r="O13" s="1" t="s">
        <v>39</v>
      </c>
      <c r="P13" s="1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0"/>
        <v>Myers</v>
      </c>
      <c r="X13" s="1" t="str">
        <f t="shared" si="1"/>
        <v>Yeh</v>
      </c>
      <c r="Y13" s="1" t="str">
        <f t="shared" si="2"/>
        <v>Van Der Windt</v>
      </c>
      <c r="Z13" s="1" t="str">
        <f t="shared" si="3"/>
        <v/>
      </c>
      <c r="AA13" s="1" t="str">
        <f t="shared" si="4"/>
        <v>Handzel</v>
      </c>
      <c r="AB13" s="1" t="str">
        <f t="shared" si="5"/>
        <v/>
      </c>
      <c r="AC13" s="1" t="str">
        <f t="shared" si="6"/>
        <v/>
      </c>
      <c r="AD13" s="1"/>
      <c r="AE13" s="1" t="s">
        <v>39</v>
      </c>
      <c r="AF13" s="1" t="s">
        <v>39</v>
      </c>
      <c r="AG13" s="1" t="s">
        <v>39</v>
      </c>
      <c r="AH13" s="1"/>
      <c r="AI13" s="1" t="s">
        <v>39</v>
      </c>
      <c r="AK13" s="32"/>
      <c r="AL13" s="17"/>
      <c r="AM13" s="15"/>
    </row>
    <row r="14" spans="1:39" x14ac:dyDescent="0.4">
      <c r="A14" s="1" t="s">
        <v>9</v>
      </c>
      <c r="B14" s="9">
        <v>13</v>
      </c>
      <c r="C14" s="1" t="s">
        <v>39</v>
      </c>
      <c r="D14" s="1"/>
      <c r="E14" s="1"/>
      <c r="F14" s="1"/>
      <c r="G14" s="1" t="s">
        <v>39</v>
      </c>
      <c r="H14" s="1" t="s">
        <v>39</v>
      </c>
      <c r="I14" s="1" t="s">
        <v>3</v>
      </c>
      <c r="J14" s="1"/>
      <c r="K14" s="1" t="s">
        <v>39</v>
      </c>
      <c r="L14" s="1"/>
      <c r="M14" s="1" t="s">
        <v>2</v>
      </c>
      <c r="N14" s="2" t="s">
        <v>39</v>
      </c>
      <c r="O14" s="1"/>
      <c r="P14" s="1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0"/>
        <v>Dadashzadeh</v>
      </c>
      <c r="X14" s="1" t="str">
        <f t="shared" si="1"/>
        <v>Nicholson</v>
      </c>
      <c r="Y14" s="1" t="str">
        <f t="shared" si="2"/>
        <v/>
      </c>
      <c r="Z14" s="1" t="str">
        <f t="shared" si="3"/>
        <v/>
      </c>
      <c r="AA14" s="1" t="str">
        <f t="shared" si="4"/>
        <v>Okolo</v>
      </c>
      <c r="AB14" s="1" t="str">
        <f t="shared" si="5"/>
        <v/>
      </c>
      <c r="AC14" s="1" t="str">
        <f t="shared" si="6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32"/>
      <c r="AL14" s="14"/>
      <c r="AM14" s="15"/>
    </row>
    <row r="15" spans="1:39" x14ac:dyDescent="0.4">
      <c r="A15" s="1" t="s">
        <v>4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39</v>
      </c>
      <c r="I15" s="1" t="s">
        <v>39</v>
      </c>
      <c r="J15" s="1" t="s">
        <v>3</v>
      </c>
      <c r="K15" s="1" t="s">
        <v>23</v>
      </c>
      <c r="L15" s="1"/>
      <c r="M15" s="1"/>
      <c r="N15" s="2" t="s">
        <v>2</v>
      </c>
      <c r="O15" s="1"/>
      <c r="P15" s="1"/>
      <c r="Q15" s="1"/>
      <c r="R15" s="1"/>
      <c r="S15" s="1" t="s">
        <v>39</v>
      </c>
      <c r="T15" s="1" t="s">
        <v>39</v>
      </c>
      <c r="U15" s="1" t="s">
        <v>39</v>
      </c>
      <c r="V15" s="3" t="s">
        <v>67</v>
      </c>
      <c r="W15" s="1" t="str">
        <f t="shared" si="0"/>
        <v>Gallagher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Siow</v>
      </c>
      <c r="AB15" s="1" t="str">
        <f t="shared" si="5"/>
        <v/>
      </c>
      <c r="AC15" s="1" t="str">
        <f t="shared" si="6"/>
        <v/>
      </c>
      <c r="AD15" s="1"/>
      <c r="AE15" s="1" t="s">
        <v>39</v>
      </c>
      <c r="AF15" s="1" t="s">
        <v>39</v>
      </c>
      <c r="AG15" s="1"/>
      <c r="AH15" s="1"/>
      <c r="AI15" s="1" t="s">
        <v>39</v>
      </c>
      <c r="AK15" s="32"/>
      <c r="AL15" s="17"/>
      <c r="AM15" s="15"/>
    </row>
    <row r="16" spans="1:39" x14ac:dyDescent="0.4">
      <c r="A16" s="1" t="s">
        <v>10</v>
      </c>
      <c r="B16" s="9">
        <v>15</v>
      </c>
      <c r="C16" s="1" t="s">
        <v>39</v>
      </c>
      <c r="D16" s="1" t="s">
        <v>39</v>
      </c>
      <c r="E16" s="1"/>
      <c r="F16" s="1"/>
      <c r="G16" s="1" t="s">
        <v>39</v>
      </c>
      <c r="H16" s="1" t="s">
        <v>39</v>
      </c>
      <c r="I16" s="1"/>
      <c r="J16" s="1" t="s">
        <v>39</v>
      </c>
      <c r="K16" s="1" t="s">
        <v>39</v>
      </c>
      <c r="L16" s="1" t="s">
        <v>3</v>
      </c>
      <c r="M16" s="1" t="s">
        <v>39</v>
      </c>
      <c r="N16" s="2" t="s">
        <v>2</v>
      </c>
      <c r="O16" s="1" t="s">
        <v>39</v>
      </c>
      <c r="P16" s="1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0"/>
        <v>Gallagher</v>
      </c>
      <c r="X16" s="1" t="str">
        <f t="shared" si="1"/>
        <v>Myers</v>
      </c>
      <c r="Y16" s="1" t="str">
        <f t="shared" si="2"/>
        <v/>
      </c>
      <c r="Z16" s="1" t="str">
        <f t="shared" si="3"/>
        <v/>
      </c>
      <c r="AA16" s="1" t="str">
        <f t="shared" si="4"/>
        <v>Cyr</v>
      </c>
      <c r="AB16" s="1" t="str">
        <f t="shared" si="5"/>
        <v/>
      </c>
      <c r="AC16" s="1" t="str">
        <f t="shared" si="6"/>
        <v/>
      </c>
      <c r="AD16" s="1"/>
      <c r="AE16" s="1" t="s">
        <v>39</v>
      </c>
      <c r="AF16" s="1" t="s">
        <v>39</v>
      </c>
      <c r="AG16" s="1"/>
      <c r="AH16" s="1"/>
      <c r="AI16" s="1" t="s">
        <v>39</v>
      </c>
      <c r="AK16" s="32"/>
      <c r="AL16" s="16"/>
      <c r="AM16" s="15"/>
    </row>
    <row r="17" spans="1:39" s="5" customFormat="1" x14ac:dyDescent="0.4">
      <c r="A17" s="2" t="s">
        <v>5</v>
      </c>
      <c r="B17" s="19">
        <v>16</v>
      </c>
      <c r="C17" s="2" t="s">
        <v>39</v>
      </c>
      <c r="D17" s="2" t="s">
        <v>39</v>
      </c>
      <c r="E17" s="2" t="s">
        <v>39</v>
      </c>
      <c r="F17" s="2" t="s">
        <v>3</v>
      </c>
      <c r="G17" s="2" t="s">
        <v>39</v>
      </c>
      <c r="H17" s="2" t="s">
        <v>39</v>
      </c>
      <c r="I17" s="2" t="s">
        <v>2</v>
      </c>
      <c r="J17" s="2" t="s">
        <v>39</v>
      </c>
      <c r="K17" s="2" t="s">
        <v>39</v>
      </c>
      <c r="L17" s="2" t="s">
        <v>39</v>
      </c>
      <c r="M17" s="2" t="s">
        <v>39</v>
      </c>
      <c r="N17" s="2" t="s">
        <v>39</v>
      </c>
      <c r="O17" s="2" t="s">
        <v>59</v>
      </c>
      <c r="P17" s="2" t="s">
        <v>39</v>
      </c>
      <c r="Q17" s="2" t="s">
        <v>39</v>
      </c>
      <c r="R17" s="2"/>
      <c r="S17" s="2" t="s">
        <v>39</v>
      </c>
      <c r="T17" s="2" t="s">
        <v>39</v>
      </c>
      <c r="U17" s="2" t="s">
        <v>39</v>
      </c>
      <c r="V17" s="5" t="s">
        <v>66</v>
      </c>
      <c r="W17" s="2" t="str">
        <f t="shared" si="0"/>
        <v>Okolo</v>
      </c>
      <c r="X17" s="2" t="str">
        <f t="shared" si="1"/>
        <v/>
      </c>
      <c r="Y17" s="2" t="str">
        <f t="shared" si="2"/>
        <v/>
      </c>
      <c r="Z17" s="2" t="str">
        <f t="shared" si="3"/>
        <v/>
      </c>
      <c r="AA17" s="2" t="str">
        <f t="shared" si="4"/>
        <v>Griepentrog</v>
      </c>
      <c r="AB17" s="2" t="str">
        <f t="shared" si="5"/>
        <v/>
      </c>
      <c r="AC17" s="2" t="str">
        <f t="shared" si="6"/>
        <v>Huckaby</v>
      </c>
      <c r="AD17" s="2"/>
      <c r="AE17" s="2" t="s">
        <v>39</v>
      </c>
      <c r="AF17" s="2"/>
      <c r="AG17" s="2"/>
      <c r="AH17" s="2"/>
      <c r="AI17" s="2" t="s">
        <v>39</v>
      </c>
      <c r="AJ17" s="2"/>
      <c r="AK17" s="33" t="s">
        <v>39</v>
      </c>
      <c r="AL17" s="37"/>
      <c r="AM17" s="25"/>
    </row>
    <row r="18" spans="1:39" x14ac:dyDescent="0.4">
      <c r="A18" s="1" t="s">
        <v>6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 t="s">
        <v>39</v>
      </c>
      <c r="I18" s="1"/>
      <c r="J18" s="1" t="s">
        <v>39</v>
      </c>
      <c r="K18" s="1" t="s">
        <v>39</v>
      </c>
      <c r="L18" s="1" t="s">
        <v>39</v>
      </c>
      <c r="M18" s="1" t="s">
        <v>39</v>
      </c>
      <c r="N18" s="2" t="s">
        <v>39</v>
      </c>
      <c r="O18" s="1" t="s">
        <v>39</v>
      </c>
      <c r="P18" s="1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0"/>
        <v>Nicholson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5"/>
        <v/>
      </c>
      <c r="AC18" s="1" t="str">
        <f t="shared" si="6"/>
        <v/>
      </c>
      <c r="AD18" s="1"/>
      <c r="AE18" s="1" t="s">
        <v>39</v>
      </c>
      <c r="AF18" s="1"/>
      <c r="AG18" s="1"/>
      <c r="AH18" s="1"/>
      <c r="AI18" s="1"/>
      <c r="AK18" s="32"/>
      <c r="AL18" s="17"/>
      <c r="AM18" s="15"/>
    </row>
    <row r="19" spans="1:39" x14ac:dyDescent="0.4">
      <c r="A19" s="1" t="s">
        <v>7</v>
      </c>
      <c r="B19" s="9">
        <v>18</v>
      </c>
      <c r="C19" s="1" t="s">
        <v>39</v>
      </c>
      <c r="D19" s="1" t="s">
        <v>23</v>
      </c>
      <c r="E19" s="1" t="s">
        <v>39</v>
      </c>
      <c r="F19" s="1"/>
      <c r="G19" s="1"/>
      <c r="H19" s="1" t="s">
        <v>39</v>
      </c>
      <c r="I19" s="1"/>
      <c r="J19" s="1" t="s">
        <v>39</v>
      </c>
      <c r="K19" s="1" t="s">
        <v>39</v>
      </c>
      <c r="L19" s="1" t="s">
        <v>39</v>
      </c>
      <c r="M19" s="1" t="s">
        <v>2</v>
      </c>
      <c r="N19" s="2" t="s">
        <v>39</v>
      </c>
      <c r="O19" s="1" t="s">
        <v>39</v>
      </c>
      <c r="P19" s="1" t="s">
        <v>39</v>
      </c>
      <c r="Q19" s="1" t="s">
        <v>39</v>
      </c>
      <c r="R19" s="1"/>
      <c r="S19" s="1" t="s">
        <v>39</v>
      </c>
      <c r="T19" s="1" t="s">
        <v>39</v>
      </c>
      <c r="U19" s="1" t="s">
        <v>39</v>
      </c>
      <c r="W19" s="1" t="str">
        <f t="shared" si="0"/>
        <v>Dadashzadeh</v>
      </c>
      <c r="X19" s="1" t="str">
        <f t="shared" si="1"/>
        <v>Van Der Windt</v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 t="str">
        <f t="shared" si="5"/>
        <v/>
      </c>
      <c r="AC19" s="1" t="str">
        <f t="shared" si="6"/>
        <v/>
      </c>
      <c r="AD19" s="1"/>
      <c r="AE19" s="1" t="s">
        <v>39</v>
      </c>
      <c r="AF19" s="1" t="s">
        <v>39</v>
      </c>
      <c r="AG19" s="1"/>
      <c r="AH19" s="1"/>
      <c r="AI19" s="1"/>
      <c r="AK19" s="32"/>
      <c r="AL19" s="14"/>
      <c r="AM19" s="15"/>
    </row>
    <row r="20" spans="1:39" x14ac:dyDescent="0.4">
      <c r="A20" s="1" t="s">
        <v>8</v>
      </c>
      <c r="B20" s="9">
        <v>19</v>
      </c>
      <c r="C20" s="1" t="s">
        <v>50</v>
      </c>
      <c r="D20" s="1"/>
      <c r="E20" s="1" t="s">
        <v>39</v>
      </c>
      <c r="F20" s="1"/>
      <c r="G20" s="1" t="s">
        <v>2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2" t="s">
        <v>3</v>
      </c>
      <c r="O20" s="1" t="s">
        <v>39</v>
      </c>
      <c r="P20" s="1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0"/>
        <v>Handzel</v>
      </c>
      <c r="X20" s="1" t="str">
        <f t="shared" si="1"/>
        <v>Kulkarni</v>
      </c>
      <c r="Y20" s="1" t="str">
        <f t="shared" si="2"/>
        <v/>
      </c>
      <c r="Z20" s="1" t="str">
        <f t="shared" si="3"/>
        <v/>
      </c>
      <c r="AA20" s="1" t="str">
        <f t="shared" si="4"/>
        <v>Gallagher</v>
      </c>
      <c r="AB20" s="1" t="str">
        <f t="shared" si="5"/>
        <v/>
      </c>
      <c r="AC20" s="1" t="str">
        <f t="shared" si="6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32"/>
      <c r="AL20" s="14"/>
      <c r="AM20" s="15"/>
    </row>
    <row r="21" spans="1:39" x14ac:dyDescent="0.4">
      <c r="A21" s="1" t="s">
        <v>9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1"/>
      <c r="K21" s="1" t="s">
        <v>39</v>
      </c>
      <c r="L21" s="1"/>
      <c r="M21" s="1" t="s">
        <v>39</v>
      </c>
      <c r="N21" s="2" t="s">
        <v>39</v>
      </c>
      <c r="O21" s="1" t="s">
        <v>23</v>
      </c>
      <c r="P21" s="1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0"/>
        <v/>
      </c>
      <c r="X21" s="1" t="str">
        <f t="shared" si="1"/>
        <v>Huckaby</v>
      </c>
      <c r="Y21" s="1" t="str">
        <f t="shared" si="2"/>
        <v/>
      </c>
      <c r="Z21" s="1" t="str">
        <f t="shared" si="3"/>
        <v/>
      </c>
      <c r="AA21" s="1" t="str">
        <f t="shared" si="4"/>
        <v>Nicholson</v>
      </c>
      <c r="AB21" s="1" t="str">
        <f t="shared" si="5"/>
        <v/>
      </c>
      <c r="AC21" s="1" t="str">
        <f t="shared" si="6"/>
        <v/>
      </c>
      <c r="AD21" s="1"/>
      <c r="AE21" s="1"/>
      <c r="AF21" s="1" t="s">
        <v>39</v>
      </c>
      <c r="AG21" s="1"/>
      <c r="AH21" s="1"/>
      <c r="AI21" s="1" t="s">
        <v>39</v>
      </c>
      <c r="AK21" s="32"/>
      <c r="AL21" s="20"/>
      <c r="AM21" s="15"/>
    </row>
    <row r="22" spans="1:39" x14ac:dyDescent="0.4">
      <c r="A22" s="1" t="s">
        <v>4</v>
      </c>
      <c r="B22" s="9">
        <v>21</v>
      </c>
      <c r="C22" s="1"/>
      <c r="D22" s="1"/>
      <c r="E22" s="1"/>
      <c r="F22" s="1"/>
      <c r="G22" s="1" t="s">
        <v>23</v>
      </c>
      <c r="H22" s="1" t="s">
        <v>39</v>
      </c>
      <c r="I22" s="1"/>
      <c r="J22" s="1"/>
      <c r="K22" s="1"/>
      <c r="L22" s="1"/>
      <c r="M22" s="1"/>
      <c r="N22" s="2"/>
      <c r="O22" s="1"/>
      <c r="P22" s="1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0"/>
        <v/>
      </c>
      <c r="X22" s="1" t="str">
        <f t="shared" si="1"/>
        <v>Handzel</v>
      </c>
      <c r="Y22" s="1" t="str">
        <f t="shared" si="2"/>
        <v/>
      </c>
      <c r="Z22" s="1" t="str">
        <f t="shared" si="3"/>
        <v/>
      </c>
      <c r="AA22" s="1" t="str">
        <f t="shared" si="4"/>
        <v>Myers</v>
      </c>
      <c r="AB22" s="1" t="str">
        <f t="shared" si="5"/>
        <v/>
      </c>
      <c r="AC22" s="1" t="str">
        <f t="shared" si="6"/>
        <v/>
      </c>
      <c r="AD22" s="1"/>
      <c r="AE22" s="1"/>
      <c r="AF22" s="1" t="s">
        <v>39</v>
      </c>
      <c r="AG22" s="1"/>
      <c r="AH22" s="1"/>
      <c r="AI22" s="1" t="s">
        <v>39</v>
      </c>
      <c r="AK22" s="32"/>
      <c r="AL22" s="20"/>
      <c r="AM22" s="15"/>
    </row>
    <row r="23" spans="1:39" x14ac:dyDescent="0.4">
      <c r="A23" s="1" t="s">
        <v>10</v>
      </c>
      <c r="B23" s="9">
        <v>22</v>
      </c>
      <c r="C23" s="1" t="s">
        <v>2</v>
      </c>
      <c r="D23" s="1" t="s">
        <v>39</v>
      </c>
      <c r="E23" s="1"/>
      <c r="F23" s="1"/>
      <c r="G23" s="1" t="s">
        <v>39</v>
      </c>
      <c r="H23" s="1" t="s">
        <v>39</v>
      </c>
      <c r="I23" s="1"/>
      <c r="J23" s="1"/>
      <c r="K23" s="1" t="s">
        <v>23</v>
      </c>
      <c r="L23" s="1"/>
      <c r="M23" s="1" t="s">
        <v>3</v>
      </c>
      <c r="N23" s="2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0"/>
        <v>Dyer</v>
      </c>
      <c r="X23" s="1" t="str">
        <f t="shared" si="1"/>
        <v>Tam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 t="str">
        <f t="shared" si="5"/>
        <v/>
      </c>
      <c r="AC23" s="1" t="str">
        <f t="shared" si="6"/>
        <v/>
      </c>
      <c r="AD23" s="1"/>
      <c r="AE23" s="1" t="s">
        <v>39</v>
      </c>
      <c r="AF23" s="1" t="s">
        <v>39</v>
      </c>
      <c r="AG23" s="1"/>
      <c r="AH23" s="1"/>
      <c r="AI23" s="1" t="s">
        <v>39</v>
      </c>
      <c r="AK23" s="32"/>
      <c r="AL23" s="20"/>
      <c r="AM23" s="15"/>
    </row>
    <row r="24" spans="1:39" x14ac:dyDescent="0.4">
      <c r="A24" s="1" t="s">
        <v>5</v>
      </c>
      <c r="B24" s="9">
        <v>23</v>
      </c>
      <c r="C24" s="1"/>
      <c r="D24" s="1"/>
      <c r="E24" s="1" t="s">
        <v>39</v>
      </c>
      <c r="F24" s="1" t="s">
        <v>2</v>
      </c>
      <c r="G24" s="1"/>
      <c r="H24" s="1" t="s">
        <v>39</v>
      </c>
      <c r="I24" s="1"/>
      <c r="J24" s="1" t="s">
        <v>3</v>
      </c>
      <c r="K24" s="1" t="s">
        <v>39</v>
      </c>
      <c r="L24" s="1" t="s">
        <v>39</v>
      </c>
      <c r="M24" s="1"/>
      <c r="N24" s="2"/>
      <c r="O24" s="1" t="s">
        <v>39</v>
      </c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Siow</v>
      </c>
      <c r="AB24" s="1" t="str">
        <f t="shared" si="5"/>
        <v/>
      </c>
      <c r="AC24" s="1" t="str">
        <f t="shared" si="6"/>
        <v/>
      </c>
      <c r="AD24" s="1"/>
      <c r="AE24" s="1" t="s">
        <v>39</v>
      </c>
      <c r="AF24" s="1"/>
      <c r="AG24" s="1"/>
      <c r="AH24" s="1"/>
      <c r="AI24" s="1" t="s">
        <v>39</v>
      </c>
      <c r="AK24" s="32"/>
      <c r="AL24" s="20"/>
      <c r="AM24" s="15"/>
    </row>
    <row r="25" spans="1:39" x14ac:dyDescent="0.4">
      <c r="A25" s="1" t="s">
        <v>6</v>
      </c>
      <c r="B25" s="9">
        <v>24</v>
      </c>
      <c r="C25" s="1"/>
      <c r="D25" s="1"/>
      <c r="E25" s="1" t="s">
        <v>39</v>
      </c>
      <c r="F25" s="1"/>
      <c r="G25" s="1"/>
      <c r="H25" s="1" t="s">
        <v>39</v>
      </c>
      <c r="I25" s="1"/>
      <c r="J25" s="1"/>
      <c r="K25" s="1" t="s">
        <v>39</v>
      </c>
      <c r="L25" s="1" t="s">
        <v>39</v>
      </c>
      <c r="M25" s="1"/>
      <c r="N25" s="2" t="s">
        <v>2</v>
      </c>
      <c r="O25" s="1" t="s">
        <v>39</v>
      </c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0"/>
        <v>Gallagher</v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5"/>
        <v/>
      </c>
      <c r="AC25" s="1" t="str">
        <f t="shared" si="6"/>
        <v/>
      </c>
      <c r="AD25" s="1"/>
      <c r="AE25" s="1" t="s">
        <v>39</v>
      </c>
      <c r="AF25" s="1"/>
      <c r="AG25" s="1"/>
      <c r="AH25" s="1"/>
      <c r="AI25" s="1"/>
      <c r="AK25" s="32"/>
      <c r="AL25" s="20"/>
      <c r="AM25" s="15"/>
    </row>
    <row r="26" spans="1:39" x14ac:dyDescent="0.4">
      <c r="A26" s="1" t="s">
        <v>7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 t="s">
        <v>23</v>
      </c>
      <c r="J26" s="1"/>
      <c r="K26" s="1" t="s">
        <v>39</v>
      </c>
      <c r="L26" s="1"/>
      <c r="M26" s="1"/>
      <c r="N26" s="2"/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0"/>
        <v/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/>
      <c r="AE26" s="1"/>
      <c r="AF26" s="1" t="s">
        <v>39</v>
      </c>
      <c r="AG26" s="1"/>
      <c r="AH26" s="1"/>
      <c r="AI26" s="1"/>
      <c r="AK26" s="32"/>
      <c r="AL26" s="20"/>
      <c r="AM26" s="15"/>
    </row>
    <row r="27" spans="1:39" x14ac:dyDescent="0.4">
      <c r="A27" s="1" t="s">
        <v>8</v>
      </c>
      <c r="B27" s="9">
        <v>26</v>
      </c>
      <c r="C27" s="1" t="s">
        <v>50</v>
      </c>
      <c r="D27" s="1" t="s">
        <v>39</v>
      </c>
      <c r="E27" s="1" t="s">
        <v>3</v>
      </c>
      <c r="F27" s="1"/>
      <c r="G27" s="1" t="s">
        <v>39</v>
      </c>
      <c r="H27" s="1" t="s">
        <v>39</v>
      </c>
      <c r="I27" s="1"/>
      <c r="J27" s="1" t="s">
        <v>23</v>
      </c>
      <c r="K27" s="1" t="s">
        <v>39</v>
      </c>
      <c r="L27" s="1"/>
      <c r="M27" s="1" t="s">
        <v>2</v>
      </c>
      <c r="N27" s="2"/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0"/>
        <v>Dadashzadeh</v>
      </c>
      <c r="X27" s="1" t="str">
        <f t="shared" si="1"/>
        <v>Siow</v>
      </c>
      <c r="Y27" s="1" t="str">
        <f t="shared" si="2"/>
        <v/>
      </c>
      <c r="Z27" s="1" t="str">
        <f t="shared" si="3"/>
        <v/>
      </c>
      <c r="AA27" s="1" t="str">
        <f t="shared" si="4"/>
        <v>Yeh</v>
      </c>
      <c r="AB27" s="1" t="str">
        <f t="shared" si="5"/>
        <v/>
      </c>
      <c r="AC27" s="1" t="str">
        <f t="shared" si="6"/>
        <v/>
      </c>
      <c r="AD27" s="1"/>
      <c r="AE27" s="1" t="s">
        <v>39</v>
      </c>
      <c r="AF27" s="1" t="s">
        <v>39</v>
      </c>
      <c r="AG27" s="1"/>
      <c r="AH27" s="1"/>
      <c r="AI27" s="1" t="s">
        <v>39</v>
      </c>
      <c r="AK27" s="32"/>
      <c r="AL27" s="20"/>
      <c r="AM27" s="15"/>
    </row>
    <row r="28" spans="1:39" x14ac:dyDescent="0.4">
      <c r="A28" s="1" t="s">
        <v>9</v>
      </c>
      <c r="B28" s="9">
        <v>27</v>
      </c>
      <c r="C28" s="1"/>
      <c r="D28" s="1"/>
      <c r="E28" s="1"/>
      <c r="F28" s="1" t="s">
        <v>23</v>
      </c>
      <c r="G28" s="1" t="s">
        <v>3</v>
      </c>
      <c r="H28" s="1" t="s">
        <v>39</v>
      </c>
      <c r="I28" s="1"/>
      <c r="J28" s="1"/>
      <c r="K28" s="1" t="s">
        <v>39</v>
      </c>
      <c r="L28" s="1"/>
      <c r="M28" s="1"/>
      <c r="N28" s="2" t="s">
        <v>39</v>
      </c>
      <c r="O28" s="1" t="s">
        <v>39</v>
      </c>
      <c r="P28" s="1"/>
      <c r="Q28" s="1" t="s">
        <v>39</v>
      </c>
      <c r="R28" s="1"/>
      <c r="S28" s="1" t="s">
        <v>39</v>
      </c>
      <c r="T28" s="1" t="s">
        <v>39</v>
      </c>
      <c r="U28" s="1" t="s">
        <v>39</v>
      </c>
      <c r="W28" s="1" t="str">
        <f t="shared" si="0"/>
        <v/>
      </c>
      <c r="X28" s="1" t="str">
        <f t="shared" si="1"/>
        <v>Griepentrog</v>
      </c>
      <c r="Y28" s="1" t="str">
        <f t="shared" si="2"/>
        <v/>
      </c>
      <c r="Z28" s="1" t="str">
        <f t="shared" si="3"/>
        <v/>
      </c>
      <c r="AA28" s="1" t="str">
        <f t="shared" si="4"/>
        <v>Handzel</v>
      </c>
      <c r="AB28" s="1" t="str">
        <f t="shared" si="5"/>
        <v/>
      </c>
      <c r="AC28" s="1" t="str">
        <f t="shared" si="6"/>
        <v/>
      </c>
      <c r="AD28" s="1"/>
      <c r="AE28" s="1"/>
      <c r="AF28" s="1" t="s">
        <v>39</v>
      </c>
      <c r="AG28" s="1"/>
      <c r="AH28" s="1"/>
      <c r="AI28" s="1" t="s">
        <v>39</v>
      </c>
      <c r="AK28" s="32"/>
      <c r="AL28" s="20"/>
      <c r="AM28" s="15"/>
    </row>
    <row r="29" spans="1:39" x14ac:dyDescent="0.4">
      <c r="A29" s="1" t="s">
        <v>4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 t="s">
        <v>3</v>
      </c>
      <c r="L29" s="1"/>
      <c r="M29" s="1"/>
      <c r="N29" s="2"/>
      <c r="O29" s="1"/>
      <c r="P29" s="1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0"/>
        <v/>
      </c>
      <c r="X29" s="1" t="str">
        <f t="shared" si="1"/>
        <v>Kulkarni</v>
      </c>
      <c r="Y29" s="1" t="str">
        <f t="shared" si="2"/>
        <v/>
      </c>
      <c r="Z29" s="1" t="str">
        <f t="shared" si="3"/>
        <v/>
      </c>
      <c r="AA29" s="1" t="str">
        <f t="shared" si="4"/>
        <v>Tam</v>
      </c>
      <c r="AB29" s="1" t="str">
        <f t="shared" si="5"/>
        <v/>
      </c>
      <c r="AC29" s="1" t="str">
        <f t="shared" si="6"/>
        <v/>
      </c>
      <c r="AD29" s="1"/>
      <c r="AE29" s="1"/>
      <c r="AF29" s="1" t="s">
        <v>39</v>
      </c>
      <c r="AG29" s="1"/>
      <c r="AH29" s="1"/>
      <c r="AI29" s="1" t="s">
        <v>39</v>
      </c>
      <c r="AK29" s="32"/>
      <c r="AL29" s="20"/>
      <c r="AM29" s="15"/>
    </row>
    <row r="30" spans="1:39" x14ac:dyDescent="0.4">
      <c r="B30" s="9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"/>
      <c r="O30" s="1"/>
      <c r="P30" s="1"/>
      <c r="Q30" s="1"/>
      <c r="R30" s="1"/>
      <c r="S30" s="1"/>
      <c r="T30" s="1"/>
      <c r="U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/>
      <c r="AE30" s="1"/>
      <c r="AF30" s="1"/>
      <c r="AG30" s="1"/>
      <c r="AH30" s="1"/>
      <c r="AI30" s="1"/>
      <c r="AK30" s="32"/>
      <c r="AL30" s="20"/>
      <c r="AM30" s="15"/>
    </row>
    <row r="31" spans="1:39" x14ac:dyDescent="0.4">
      <c r="B31" s="9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2"/>
      <c r="O31" s="1"/>
      <c r="P31" s="1"/>
      <c r="Q31" s="1"/>
      <c r="R31" s="1"/>
      <c r="S31" s="1"/>
      <c r="T31" s="1"/>
      <c r="U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/>
      <c r="AE31" s="1"/>
      <c r="AF31" s="1"/>
      <c r="AG31" s="1"/>
      <c r="AH31" s="1"/>
      <c r="AI31" s="1"/>
      <c r="AK31" s="32"/>
      <c r="AL31" s="20"/>
      <c r="AM31" s="15"/>
    </row>
    <row r="32" spans="1:39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"/>
      <c r="O32" s="1"/>
      <c r="P32" s="1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1"/>
      <c r="AF32" s="1"/>
      <c r="AG32" s="1"/>
      <c r="AH32" s="1"/>
      <c r="AI32" s="1"/>
      <c r="AK32" s="32"/>
      <c r="AL32" s="20"/>
      <c r="AM32" s="15"/>
    </row>
    <row r="33" spans="1:38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K33" s="34"/>
      <c r="AL33" s="20"/>
    </row>
    <row r="34" spans="1:38" x14ac:dyDescent="0.4">
      <c r="A34" s="7" t="s">
        <v>11</v>
      </c>
      <c r="B34" s="18"/>
      <c r="C34" s="7" t="s">
        <v>47</v>
      </c>
      <c r="D34" s="7" t="s">
        <v>57</v>
      </c>
      <c r="E34" s="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7" t="s">
        <v>51</v>
      </c>
      <c r="K34" s="7" t="s">
        <v>51</v>
      </c>
      <c r="L34" s="7" t="s">
        <v>47</v>
      </c>
      <c r="M34" s="7" t="s">
        <v>51</v>
      </c>
      <c r="N34" s="38" t="s">
        <v>51</v>
      </c>
      <c r="O34" s="7" t="s">
        <v>47</v>
      </c>
      <c r="P34" s="7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1">
        <f>COUNTIF(AE2:AE32,"x")</f>
        <v>17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0">
        <f>COUNTIF(AK2:AK31,"x")</f>
        <v>1</v>
      </c>
      <c r="AL34" s="20"/>
    </row>
    <row r="35" spans="1:38" s="8" customFormat="1" x14ac:dyDescent="0.4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1">
        <f t="shared" si="7"/>
        <v>5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2">
        <f t="shared" si="7"/>
        <v>6</v>
      </c>
      <c r="O35" s="1">
        <f t="shared" si="7"/>
        <v>3</v>
      </c>
      <c r="P35" s="1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J35" s="7"/>
      <c r="AK35" s="31"/>
      <c r="AL35" s="20"/>
    </row>
    <row r="36" spans="1:38" x14ac:dyDescent="0.4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19">
        <f t="shared" si="10"/>
        <v>5</v>
      </c>
      <c r="O36" s="9">
        <f t="shared" si="10"/>
        <v>3</v>
      </c>
      <c r="P36" s="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4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19">
        <f t="shared" si="13"/>
        <v>-1</v>
      </c>
      <c r="O37" s="9">
        <f t="shared" si="13"/>
        <v>0</v>
      </c>
      <c r="P37" s="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62</v>
      </c>
      <c r="AL37" s="20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19"/>
      <c r="O38" s="9"/>
      <c r="P38" s="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4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9">
        <f t="shared" si="15"/>
        <v>0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9">
        <f t="shared" si="15"/>
        <v>1</v>
      </c>
      <c r="K39" s="9">
        <f t="shared" si="15"/>
        <v>0</v>
      </c>
      <c r="L39" s="9">
        <f t="shared" si="15"/>
        <v>1</v>
      </c>
      <c r="M39" s="9">
        <f t="shared" si="15"/>
        <v>3</v>
      </c>
      <c r="N39" s="19">
        <f t="shared" si="15"/>
        <v>3</v>
      </c>
      <c r="O39" s="9">
        <f t="shared" si="15"/>
        <v>0</v>
      </c>
      <c r="P39" s="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4">
      <c r="A40" s="1" t="s">
        <v>22</v>
      </c>
      <c r="B40" s="9"/>
      <c r="C40" s="9">
        <f t="shared" si="16"/>
        <v>0</v>
      </c>
      <c r="D40" s="9">
        <f t="shared" si="16"/>
        <v>1</v>
      </c>
      <c r="E40" s="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19">
        <f t="shared" si="16"/>
        <v>0</v>
      </c>
      <c r="O40" s="9">
        <f t="shared" si="16"/>
        <v>0</v>
      </c>
      <c r="P40" s="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4">
      <c r="A41" s="1" t="s">
        <v>21</v>
      </c>
      <c r="B41" s="9"/>
      <c r="C41" s="9">
        <f t="shared" si="16"/>
        <v>0</v>
      </c>
      <c r="D41" s="9">
        <f t="shared" si="16"/>
        <v>0</v>
      </c>
      <c r="E41" s="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19">
        <f t="shared" si="16"/>
        <v>0</v>
      </c>
      <c r="O41" s="9">
        <f t="shared" si="16"/>
        <v>0</v>
      </c>
      <c r="P41" s="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4">
      <c r="A42" s="1" t="s">
        <v>23</v>
      </c>
      <c r="B42" s="9"/>
      <c r="C42" s="9">
        <f t="shared" si="16"/>
        <v>1</v>
      </c>
      <c r="D42" s="9">
        <f t="shared" si="16"/>
        <v>1</v>
      </c>
      <c r="E42" s="9">
        <f t="shared" si="16"/>
        <v>2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0</v>
      </c>
      <c r="N42" s="19">
        <f t="shared" si="16"/>
        <v>1</v>
      </c>
      <c r="O42" s="9">
        <f t="shared" si="16"/>
        <v>1</v>
      </c>
      <c r="P42" s="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4">
      <c r="A43" s="1" t="s">
        <v>3</v>
      </c>
      <c r="B43" s="9"/>
      <c r="C43" s="9">
        <f t="shared" si="16"/>
        <v>0</v>
      </c>
      <c r="D43" s="9">
        <f t="shared" si="16"/>
        <v>1</v>
      </c>
      <c r="E43" s="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19">
        <f t="shared" si="16"/>
        <v>2</v>
      </c>
      <c r="O43" s="9">
        <f t="shared" si="16"/>
        <v>1</v>
      </c>
      <c r="P43" s="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4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1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1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2">
        <f t="shared" si="18"/>
        <v>0</v>
      </c>
      <c r="O44" s="1">
        <f t="shared" si="18"/>
        <v>0</v>
      </c>
      <c r="P44" s="1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4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1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1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2">
        <f t="shared" si="21"/>
        <v>1</v>
      </c>
      <c r="O45" s="1">
        <f t="shared" si="21"/>
        <v>0</v>
      </c>
      <c r="P45" s="1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4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1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1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1</v>
      </c>
      <c r="N46" s="2">
        <f t="shared" si="24"/>
        <v>0</v>
      </c>
      <c r="O46" s="1">
        <f t="shared" si="24"/>
        <v>0</v>
      </c>
      <c r="P46" s="1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4">
      <c r="A47" s="1" t="s">
        <v>25</v>
      </c>
      <c r="C47" s="1">
        <f t="shared" ref="C47:T47" si="26">SUM(C44:C46)</f>
        <v>2</v>
      </c>
      <c r="D47" s="1">
        <f t="shared" si="26"/>
        <v>2</v>
      </c>
      <c r="E47" s="1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1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2</v>
      </c>
      <c r="N47" s="2">
        <f t="shared" si="27"/>
        <v>1</v>
      </c>
      <c r="O47" s="1">
        <f t="shared" si="27"/>
        <v>0</v>
      </c>
      <c r="P47" s="1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11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0.16666666666666666</v>
      </c>
      <c r="N48" s="39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11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4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11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11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0.14285714285714285</v>
      </c>
      <c r="N49" s="39">
        <f t="shared" si="29"/>
        <v>0.4642857142857143</v>
      </c>
      <c r="O49" s="11">
        <f t="shared" si="29"/>
        <v>0.5714285714285714</v>
      </c>
      <c r="P49" s="11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 t="s">
        <v>56</v>
      </c>
      <c r="L50" s="12"/>
      <c r="M50" s="12"/>
      <c r="N50" s="40"/>
      <c r="O50" s="12" t="s">
        <v>40</v>
      </c>
      <c r="P50" s="12"/>
      <c r="Q50" s="12"/>
      <c r="R50" s="12" t="s">
        <v>40</v>
      </c>
      <c r="S50" s="12"/>
      <c r="T50" s="12" t="s">
        <v>42</v>
      </c>
      <c r="AL50" s="20"/>
    </row>
    <row r="51" spans="1:38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40"/>
      <c r="P51" s="12"/>
      <c r="Q51" s="12"/>
      <c r="S51" s="12"/>
      <c r="AL51" s="20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53</v>
      </c>
      <c r="L52" s="12"/>
      <c r="M52" s="12"/>
      <c r="N52" s="40"/>
      <c r="O52" s="12"/>
      <c r="P52" s="12"/>
      <c r="Q52" s="12"/>
      <c r="R52" s="12"/>
      <c r="S52" s="12"/>
      <c r="T52" s="12"/>
    </row>
    <row r="53" spans="1:38" x14ac:dyDescent="0.4">
      <c r="A53" s="12"/>
      <c r="B53" s="12"/>
      <c r="C53" s="12"/>
      <c r="D53" s="12"/>
      <c r="E53" s="12" t="s">
        <v>48</v>
      </c>
      <c r="F53" s="12"/>
      <c r="G53" s="12"/>
      <c r="H53" s="12"/>
      <c r="I53" s="12"/>
      <c r="J53" s="12"/>
      <c r="K53" s="12" t="s">
        <v>54</v>
      </c>
      <c r="L53" s="12"/>
      <c r="M53" s="12" t="s">
        <v>48</v>
      </c>
      <c r="N53" s="40"/>
      <c r="O53" s="12" t="s">
        <v>48</v>
      </c>
      <c r="P53" s="12"/>
      <c r="Q53" s="12" t="s">
        <v>48</v>
      </c>
      <c r="R53" s="12"/>
      <c r="S53" s="12"/>
      <c r="T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J54" s="3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4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2018-02-14T03:48:58Z</dcterms:modified>
</cp:coreProperties>
</file>