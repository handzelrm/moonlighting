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VsIqNatK8P/Xyt6gnuaeQqfWxc04aqJ9kf/YLVH17HjLxRTmiKCUPX5tx9gXHIU0tJ9d1rMU+SqXdbdz0TyYTA==" workbookSaltValue="k44gvcmSPG/EcSxBgknNlw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<sst xmlns="http://schemas.openxmlformats.org/spreadsheetml/2006/main" count="454" uniqueCount="72">
  <si>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</si>
  <si>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</si>
  <si>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</si>
  <si>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</si>
  <si>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</si>
  <si>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</si>
  <si>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</si>
  <si>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</si>
  <si>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</si>
  <si>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</si>
  <si>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</si>
  <si>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</si>
  <si>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</si>
  <si>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</si>
  <si>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</si>
  <si>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</si>
  <si>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</si>
  <si>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</si>
  <si>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</si>
  <si>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</si>
  <si>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</si>
  <si>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</si>
  <si>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</si>
  <si>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</si>
  <si>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</si>
  <si>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</si>
  <si>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</si>
  <si>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</si>
  <si>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</si>
  <si>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</si>
  <si>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</si>
  <si>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</si>
  <si>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</si>
  <si>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</si>
  <si>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</si>
  <si>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</si>
  <si>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</si>
  <si>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</si>
  <si>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</si>
  <si>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</si>
  <si>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</si>
  <si>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</si>
  <si>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</si>
  <si>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</si>
  <si>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</si>
  <si>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</si>
  <si>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</si>
  <si>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</si>
  <si>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</si>
  <si>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</si>
  <si>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</si>
  <si>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</si>
  <si>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</si>
  <si>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</si>
  <si>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Non-CT Req</t>
  </si>
  <si>
    <t>All Serv Req</t>
  </si>
  <si>
    <t>Max Res Req</t>
  </si>
  <si>
    <t>jr trauma</t>
  </si>
  <si>
    <t>jr trauma wkend</t>
  </si>
  <si>
    <t>6</t>
  </si>
  <si>
    <t>Kristina Nicholson (4178)</t>
  </si>
  <si>
    <t>Todd Yecies (4391)</t>
  </si>
  <si>
    <t>Sara Myers (4186)</t>
  </si>
  <si>
    <t>Rob Handzel (8637)</t>
  </si>
  <si>
    <t>Shreyus Kulkarni (4185)</t>
  </si>
  <si>
    <t>Matthew Pommerening (5967)</t>
  </si>
  <si>
    <t>James Gallagher (4180)</t>
  </si>
  <si>
    <t>Frances Okolo (8645)</t>
  </si>
  <si>
    <t>Shaun Siow (8647)</t>
  </si>
  <si>
    <t>Mark Cyr (4172)</t>
  </si>
  <si>
    <t>Shruyus Kulkarni (4185)</t>
  </si>
  <si>
    <t>Vernissia Tam (8648)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</si>
</sst>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2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9" fillId="2" borderId="0" xfId="0" applyFont="1" applyFill="1" applyBorder="1" applyAlignment="1">
      <alignment wrapText="1"/>
    </xf>
    <xf numFmtId="0" fontId="1" fillId="2" borderId="2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2" sqref="I2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CHP Jr.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Yeh</v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>CHP Sr.</v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>Okolo</v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>CHP Jr.</v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Huckaby</v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>CT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Yecies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CHP Sr.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Trauma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Dadashzadeh</v>
      </c>
      <c r="W26" s="13" t="str">
        <f>IF(ISBLANK(Master!X26),"",Master!X26)</f>
        <v>Kulkarni</v>
      </c>
      <c r="X26" s="13" t="str">
        <f>IF(ISBLANK(Master!Y26),"",Master!Y26)</f>
        <v>Hill (Kirk)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>CHP Sr.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Siow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4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6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6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U2" activePane="bottomRight" state="frozen"/>
      <selection pane="topRight" activeCell="C1" sqref="C1"/>
      <selection pane="bottomLeft" activeCell="A2" sqref="A2"/>
      <selection pane="bottomRight" activeCell="AE16" sqref="AE16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30.4609375" style="3" customWidth="1"/>
    <col min="23" max="27" width="16.84375" style="10" bestFit="1" customWidth="1"/>
    <col min="28" max="28" width="36.23046875" style="10" customWidth="1"/>
    <col min="29" max="30" width="7.84375" style="3" customWidth="1"/>
    <col min="31" max="31" width="7.84375" style="5" customWidth="1"/>
    <col min="32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8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30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2"/>
      <c r="AF2" s="1"/>
      <c r="AG2" s="1" t="s">
        <v>40</v>
      </c>
      <c r="AI2" s="20"/>
      <c r="AJ2" s="21"/>
      <c r="AK2" s="22"/>
    </row>
    <row r="3" spans="1:37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 t="s">
        <v>60</v>
      </c>
      <c r="AC3" s="1"/>
      <c r="AD3" s="1" t="s">
        <v>40</v>
      </c>
      <c r="AE3" s="2"/>
      <c r="AF3" s="1"/>
      <c r="AG3" s="1" t="s">
        <v>40</v>
      </c>
      <c r="AI3" s="20"/>
      <c r="AJ3" s="23"/>
      <c r="AK3" s="22"/>
    </row>
    <row r="4" spans="1:37" x14ac:dyDescent="0.4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1" t="s">
        <v>40</v>
      </c>
      <c r="J4" s="1" t="s">
        <v>40</v>
      </c>
      <c r="K4" s="1" t="s">
        <v>40</v>
      </c>
      <c r="L4" s="1" t="s">
        <v>23</v>
      </c>
      <c r="M4" s="1"/>
      <c r="N4" s="1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NEEDS COVERAGE</v>
      </c>
      <c r="AB4" s="1" t="s">
        <v>61</v>
      </c>
      <c r="AC4" s="1" t="s">
        <v>40</v>
      </c>
      <c r="AD4" s="1" t="s">
        <v>40</v>
      </c>
      <c r="AE4" s="2" t="s">
        <v>40</v>
      </c>
      <c r="AF4" s="1"/>
      <c r="AG4" s="1" t="s">
        <v>40</v>
      </c>
      <c r="AI4" s="20"/>
      <c r="AJ4" s="24"/>
      <c r="AK4" s="22"/>
    </row>
    <row r="5" spans="1:37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1"/>
      <c r="T5" s="1" t="s">
        <v>40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">
        <v>62</v>
      </c>
      <c r="AC5" s="1" t="s">
        <v>40</v>
      </c>
      <c r="AD5" s="1" t="s">
        <v>40</v>
      </c>
      <c r="AE5" s="2"/>
      <c r="AF5" s="1"/>
      <c r="AG5" s="1" t="s">
        <v>40</v>
      </c>
      <c r="AI5" s="20"/>
      <c r="AJ5" s="24"/>
      <c r="AK5" s="22"/>
    </row>
    <row r="6" spans="1:37" x14ac:dyDescent="0.4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 t="s">
        <v>63</v>
      </c>
      <c r="AC6" s="1" t="s">
        <v>40</v>
      </c>
      <c r="AD6" s="1" t="s">
        <v>40</v>
      </c>
      <c r="AE6" s="2"/>
      <c r="AF6" s="1"/>
      <c r="AG6" s="1" t="s">
        <v>40</v>
      </c>
      <c r="AI6" s="20"/>
      <c r="AJ6" s="21"/>
      <c r="AK6" s="22"/>
    </row>
    <row r="7" spans="1:37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 t="s">
        <v>23</v>
      </c>
      <c r="J7" s="1"/>
      <c r="K7" s="1" t="s">
        <v>40</v>
      </c>
      <c r="L7" s="1"/>
      <c r="M7" s="1"/>
      <c r="N7" s="1"/>
      <c r="O7" s="1"/>
      <c r="P7" s="1" t="s">
        <v>3</v>
      </c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>NEEDS COVERAGE</v>
      </c>
      <c r="AA7" s="1" t="str">
        <f t="shared" si="4"/>
        <v>Kulkarni</v>
      </c>
      <c r="AB7" s="1" t="s">
        <v>64</v>
      </c>
      <c r="AC7" s="1"/>
      <c r="AD7" s="1" t="s">
        <v>40</v>
      </c>
      <c r="AE7" s="2"/>
      <c r="AF7" s="1" t="s">
        <v>40</v>
      </c>
      <c r="AG7" s="1" t="s">
        <v>40</v>
      </c>
      <c r="AI7" s="20"/>
      <c r="AJ7" s="23"/>
      <c r="AK7" s="22"/>
    </row>
    <row r="8" spans="1:37" x14ac:dyDescent="0.4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1"/>
      <c r="T8" s="1" t="s">
        <v>40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2"/>
      <c r="AF8" s="1" t="s">
        <v>40</v>
      </c>
      <c r="AG8" s="1" t="s">
        <v>40</v>
      </c>
      <c r="AI8" s="20"/>
      <c r="AJ8" s="24"/>
      <c r="AK8" s="22"/>
    </row>
    <row r="9" spans="1:37" x14ac:dyDescent="0.4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2"/>
      <c r="AF9" s="1"/>
      <c r="AG9" s="1" t="s">
        <v>40</v>
      </c>
      <c r="AI9" s="20"/>
      <c r="AJ9" s="24"/>
      <c r="AK9" s="22"/>
    </row>
    <row r="10" spans="1:37" x14ac:dyDescent="0.4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1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 t="s">
        <v>66</v>
      </c>
      <c r="AC10" s="1"/>
      <c r="AD10" s="1" t="s">
        <v>40</v>
      </c>
      <c r="AE10" s="2" t="s">
        <v>40</v>
      </c>
      <c r="AF10" s="1"/>
      <c r="AG10" s="1" t="s">
        <v>40</v>
      </c>
      <c r="AI10" s="20"/>
      <c r="AJ10" s="24"/>
      <c r="AK10" s="22"/>
    </row>
    <row r="11" spans="1:37" x14ac:dyDescent="0.4">
      <c r="A11" s="1" t="s">
        <v>8</v>
      </c>
      <c r="B11" s="9">
        <v>10</v>
      </c>
      <c r="C11" s="1"/>
      <c r="D11" s="1"/>
      <c r="E11" s="1" t="s">
        <v>21</v>
      </c>
      <c r="F11" s="1"/>
      <c r="G11" s="1" t="s">
        <v>40</v>
      </c>
      <c r="H11" s="1" t="s">
        <v>23</v>
      </c>
      <c r="I11" s="1" t="s">
        <v>3</v>
      </c>
      <c r="J11" s="1"/>
      <c r="K11" s="1"/>
      <c r="L11" s="1"/>
      <c r="M11" s="1"/>
      <c r="N11" s="1"/>
      <c r="O11" s="1"/>
      <c r="P11" s="1"/>
      <c r="Q11" s="1"/>
      <c r="R11" s="1" t="s">
        <v>2</v>
      </c>
      <c r="S11" s="1"/>
      <c r="T11" s="1" t="s">
        <v>40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>Yeh</v>
      </c>
      <c r="AA11" s="1" t="str">
        <f t="shared" si="4"/>
        <v>Okolo</v>
      </c>
      <c r="AB11" s="1" t="s">
        <v>67</v>
      </c>
      <c r="AC11" s="1" t="s">
        <v>40</v>
      </c>
      <c r="AD11" s="1" t="s">
        <v>40</v>
      </c>
      <c r="AE11" s="2"/>
      <c r="AF11" s="1" t="s">
        <v>40</v>
      </c>
      <c r="AG11" s="1" t="s">
        <v>40</v>
      </c>
      <c r="AI11" s="20"/>
      <c r="AJ11" s="23"/>
      <c r="AK11" s="22"/>
    </row>
    <row r="12" spans="1:37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1"/>
      <c r="T12" s="1" t="s">
        <v>40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 t="s">
        <v>68</v>
      </c>
      <c r="AC12" s="1" t="s">
        <v>40</v>
      </c>
      <c r="AD12" s="1" t="s">
        <v>40</v>
      </c>
      <c r="AE12" s="2"/>
      <c r="AF12" s="1"/>
      <c r="AG12" s="1" t="s">
        <v>40</v>
      </c>
      <c r="AI12" s="20"/>
      <c r="AJ12" s="24"/>
      <c r="AK12" s="22"/>
    </row>
    <row r="13" spans="1:37" x14ac:dyDescent="0.4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 t="s">
        <v>61</v>
      </c>
      <c r="AC13" s="1"/>
      <c r="AD13" s="1" t="s">
        <v>40</v>
      </c>
      <c r="AE13" s="2" t="s">
        <v>40</v>
      </c>
      <c r="AF13" s="1"/>
      <c r="AG13" s="1" t="s">
        <v>40</v>
      </c>
      <c r="AI13" s="20"/>
      <c r="AJ13" s="24"/>
      <c r="AK13" s="22"/>
    </row>
    <row r="14" spans="1:37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 t="s">
        <v>21</v>
      </c>
      <c r="L14" s="1" t="s">
        <v>3</v>
      </c>
      <c r="M14" s="1"/>
      <c r="N14" s="1"/>
      <c r="O14" s="1"/>
      <c r="P14" s="1"/>
      <c r="Q14" s="1"/>
      <c r="R14" s="1" t="s">
        <v>23</v>
      </c>
      <c r="S14" s="1"/>
      <c r="T14" s="1" t="s">
        <v>40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 t="s">
        <v>69</v>
      </c>
      <c r="AC14" s="1"/>
      <c r="AD14" s="1" t="s">
        <v>40</v>
      </c>
      <c r="AE14" s="2"/>
      <c r="AF14" s="1" t="s">
        <v>40</v>
      </c>
      <c r="AG14" s="1" t="s">
        <v>40</v>
      </c>
      <c r="AI14" s="24"/>
      <c r="AJ14" s="21"/>
      <c r="AK14" s="22"/>
    </row>
    <row r="15" spans="1:37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 t="s">
        <v>22</v>
      </c>
      <c r="J15" s="1"/>
      <c r="K15" s="1"/>
      <c r="L15" s="1"/>
      <c r="M15" s="1"/>
      <c r="N15" s="1" t="s">
        <v>2</v>
      </c>
      <c r="O15" s="1"/>
      <c r="P15" s="1"/>
      <c r="Q15" s="1"/>
      <c r="R15" s="1"/>
      <c r="S15" s="1"/>
      <c r="T15" s="1" t="s">
        <v>40</v>
      </c>
      <c r="W15" s="1" t="str">
        <f t="shared" si="0"/>
        <v>Gallagher</v>
      </c>
      <c r="X15" s="1" t="str">
        <f t="shared" si="1"/>
        <v/>
      </c>
      <c r="Y15" s="1" t="str">
        <f t="shared" si="2"/>
        <v>Okolo</v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2" t="s">
        <v>40</v>
      </c>
      <c r="AF15" s="1"/>
      <c r="AG15" s="1" t="s">
        <v>40</v>
      </c>
      <c r="AI15" s="20"/>
      <c r="AJ15" s="24"/>
      <c r="AK15" s="22"/>
    </row>
    <row r="16" spans="1:37" s="5" customFormat="1" x14ac:dyDescent="0.4">
      <c r="A16" s="2" t="s">
        <v>6</v>
      </c>
      <c r="B16" s="17">
        <v>15</v>
      </c>
      <c r="C16" s="2"/>
      <c r="D16" s="2"/>
      <c r="E16" s="2" t="s">
        <v>40</v>
      </c>
      <c r="F16" s="2" t="s">
        <v>2</v>
      </c>
      <c r="G16" s="2"/>
      <c r="H16" s="2"/>
      <c r="I16" s="2"/>
      <c r="J16" s="2"/>
      <c r="K16" s="2" t="s">
        <v>40</v>
      </c>
      <c r="L16" s="2"/>
      <c r="M16" s="2"/>
      <c r="N16" s="2"/>
      <c r="O16" s="2"/>
      <c r="P16" s="2"/>
      <c r="Q16" s="2"/>
      <c r="R16" s="2"/>
      <c r="S16" s="2"/>
      <c r="T16" s="2" t="s">
        <v>40</v>
      </c>
      <c r="W16" s="2" t="str">
        <f t="shared" si="0"/>
        <v>Griepentrog</v>
      </c>
      <c r="X16" s="2" t="str">
        <f t="shared" si="1"/>
        <v/>
      </c>
      <c r="Y16" s="2" t="str">
        <f t="shared" si="2"/>
        <v/>
      </c>
      <c r="Z16" s="2" t="str">
        <f t="shared" si="3"/>
        <v/>
      </c>
      <c r="AA16" s="2" t="str">
        <f t="shared" si="4"/>
        <v>NEEDS COVERAGE</v>
      </c>
      <c r="AB16" s="2"/>
      <c r="AC16" s="2" t="s">
        <v>40</v>
      </c>
      <c r="AD16" s="2"/>
      <c r="AE16" s="2"/>
      <c r="AF16" s="2"/>
      <c r="AG16" s="2" t="s">
        <v>40</v>
      </c>
      <c r="AI16" s="27"/>
      <c r="AJ16" s="29"/>
      <c r="AK16" s="28"/>
    </row>
    <row r="17" spans="1:37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1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2" t="s">
        <v>40</v>
      </c>
      <c r="AF17" s="1"/>
      <c r="AG17" s="1" t="s">
        <v>40</v>
      </c>
      <c r="AI17" s="20"/>
      <c r="AJ17" s="21"/>
      <c r="AK17" s="22"/>
    </row>
    <row r="18" spans="1:37" x14ac:dyDescent="0.4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1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1"/>
      <c r="T18" s="1" t="s">
        <v>40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 t="s">
        <v>70</v>
      </c>
      <c r="AC18" s="1" t="s">
        <v>40</v>
      </c>
      <c r="AD18" s="1" t="s">
        <v>40</v>
      </c>
      <c r="AE18" s="2" t="s">
        <v>40</v>
      </c>
      <c r="AF18" s="1"/>
      <c r="AG18" s="1" t="s">
        <v>40</v>
      </c>
      <c r="AI18" s="20"/>
      <c r="AJ18" s="24"/>
      <c r="AK18" s="22"/>
    </row>
    <row r="19" spans="1:37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1"/>
      <c r="K19" s="1"/>
      <c r="L19" s="1"/>
      <c r="M19" s="1"/>
      <c r="N19" s="1" t="s">
        <v>23</v>
      </c>
      <c r="O19" s="1"/>
      <c r="P19" s="1"/>
      <c r="Q19" s="1"/>
      <c r="R19" s="1"/>
      <c r="S19" s="1" t="s">
        <v>3</v>
      </c>
      <c r="T19" s="1" t="s">
        <v>40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 t="s">
        <v>61</v>
      </c>
      <c r="AC19" s="1"/>
      <c r="AD19" s="1" t="s">
        <v>40</v>
      </c>
      <c r="AE19" s="2" t="s">
        <v>40</v>
      </c>
      <c r="AF19" s="1"/>
      <c r="AG19" s="1" t="s">
        <v>40</v>
      </c>
      <c r="AI19" s="20"/>
      <c r="AJ19" s="21"/>
      <c r="AK19" s="22"/>
    </row>
    <row r="20" spans="1:37" x14ac:dyDescent="0.4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1"/>
      <c r="O20" s="1" t="s">
        <v>21</v>
      </c>
      <c r="P20" s="1"/>
      <c r="Q20" s="1"/>
      <c r="R20" s="1"/>
      <c r="S20" s="1"/>
      <c r="T20" s="1" t="s">
        <v>40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>Huckaby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2"/>
      <c r="AF20" s="1" t="s">
        <v>40</v>
      </c>
      <c r="AG20" s="1" t="s">
        <v>40</v>
      </c>
      <c r="AI20" s="20"/>
      <c r="AJ20" s="21"/>
      <c r="AK20" s="22"/>
    </row>
    <row r="21" spans="1:37" x14ac:dyDescent="0.4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1"/>
      <c r="T21" s="1" t="s">
        <v>40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2"/>
      <c r="AF21" s="1" t="s">
        <v>40</v>
      </c>
      <c r="AG21" s="1" t="s">
        <v>40</v>
      </c>
      <c r="AI21" s="24"/>
      <c r="AJ21" s="23"/>
      <c r="AK21" s="22"/>
    </row>
    <row r="22" spans="1:37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1" t="s">
        <v>22</v>
      </c>
      <c r="J22" s="1" t="s">
        <v>40</v>
      </c>
      <c r="K22" s="1" t="s">
        <v>40</v>
      </c>
      <c r="L22" s="1" t="s">
        <v>40</v>
      </c>
      <c r="M22" s="1"/>
      <c r="N22" s="1"/>
      <c r="O22" s="1"/>
      <c r="P22" s="1" t="s">
        <v>2</v>
      </c>
      <c r="Q22" s="1"/>
      <c r="R22" s="1" t="s">
        <v>40</v>
      </c>
      <c r="S22" s="1" t="s">
        <v>3</v>
      </c>
      <c r="T22" s="1" t="s">
        <v>40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Yecies</v>
      </c>
      <c r="AB22" s="1" t="s">
        <v>65</v>
      </c>
      <c r="AC22" s="1" t="s">
        <v>40</v>
      </c>
      <c r="AD22" s="1"/>
      <c r="AE22" s="2" t="s">
        <v>40</v>
      </c>
      <c r="AF22" s="1"/>
      <c r="AG22" s="1" t="s">
        <v>40</v>
      </c>
      <c r="AI22" s="20"/>
      <c r="AJ22" s="24"/>
      <c r="AK22" s="22"/>
    </row>
    <row r="23" spans="1:37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2"/>
      <c r="AF23" s="1"/>
      <c r="AG23" s="1" t="s">
        <v>40</v>
      </c>
      <c r="AI23" s="20"/>
      <c r="AJ23" s="21"/>
      <c r="AK23" s="22"/>
    </row>
    <row r="24" spans="1:37" x14ac:dyDescent="0.4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1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 t="s">
        <v>66</v>
      </c>
      <c r="AC24" s="1"/>
      <c r="AD24" s="1" t="s">
        <v>40</v>
      </c>
      <c r="AE24" s="2" t="s">
        <v>40</v>
      </c>
      <c r="AF24" s="1"/>
      <c r="AG24" s="1" t="s">
        <v>40</v>
      </c>
      <c r="AI24" s="20"/>
      <c r="AJ24" s="23"/>
      <c r="AK24" s="22"/>
    </row>
    <row r="25" spans="1:37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1"/>
      <c r="K25" s="1"/>
      <c r="L25" s="1" t="s">
        <v>2</v>
      </c>
      <c r="M25" s="1" t="s">
        <v>23</v>
      </c>
      <c r="N25" s="1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2" t="s">
        <v>40</v>
      </c>
      <c r="AF25" s="1"/>
      <c r="AG25" s="1" t="s">
        <v>40</v>
      </c>
      <c r="AI25" s="20"/>
      <c r="AJ25" s="24"/>
      <c r="AK25" s="22"/>
    </row>
    <row r="26" spans="1:37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 t="s">
        <v>22</v>
      </c>
      <c r="I26" s="1"/>
      <c r="J26" s="1"/>
      <c r="K26" s="1" t="s">
        <v>3</v>
      </c>
      <c r="L26" s="1"/>
      <c r="M26" s="1" t="s">
        <v>2</v>
      </c>
      <c r="N26" s="1"/>
      <c r="O26" s="1"/>
      <c r="P26" s="1" t="s">
        <v>23</v>
      </c>
      <c r="Q26" s="1" t="s">
        <v>40</v>
      </c>
      <c r="R26" s="1"/>
      <c r="S26" s="1"/>
      <c r="T26" s="1" t="s">
        <v>40</v>
      </c>
      <c r="W26" s="1" t="str">
        <f t="shared" si="0"/>
        <v>Dadashzadeh</v>
      </c>
      <c r="X26" s="1" t="str">
        <f t="shared" si="1"/>
        <v>Kulkarni</v>
      </c>
      <c r="Y26" s="1" t="str">
        <f t="shared" si="2"/>
        <v>Hill (Kirk)</v>
      </c>
      <c r="Z26" s="1" t="str">
        <f t="shared" si="3"/>
        <v/>
      </c>
      <c r="AA26" s="1" t="str">
        <f t="shared" si="4"/>
        <v>Tam</v>
      </c>
      <c r="AB26" s="1" t="s">
        <v>71</v>
      </c>
      <c r="AC26" s="1" t="s">
        <v>40</v>
      </c>
      <c r="AD26" s="1" t="s">
        <v>40</v>
      </c>
      <c r="AE26" s="2" t="s">
        <v>40</v>
      </c>
      <c r="AF26" s="1"/>
      <c r="AG26" s="1" t="s">
        <v>40</v>
      </c>
      <c r="AI26" s="20"/>
      <c r="AJ26" s="23"/>
      <c r="AK26" s="22"/>
    </row>
    <row r="27" spans="1:37" x14ac:dyDescent="0.4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/>
      <c r="I27" s="1"/>
      <c r="J27" s="1" t="s">
        <v>22</v>
      </c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1"/>
      <c r="T27" s="1" t="s">
        <v>40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Siow</v>
      </c>
      <c r="Z27" s="1" t="str">
        <f t="shared" si="3"/>
        <v/>
      </c>
      <c r="AA27" s="1" t="str">
        <f t="shared" si="4"/>
        <v>Nicholson</v>
      </c>
      <c r="AB27" s="1" t="s">
        <v>60</v>
      </c>
      <c r="AC27" s="1" t="s">
        <v>40</v>
      </c>
      <c r="AD27" s="1" t="s">
        <v>40</v>
      </c>
      <c r="AE27" s="2" t="s">
        <v>40</v>
      </c>
      <c r="AF27" s="1"/>
      <c r="AG27" s="1" t="s">
        <v>40</v>
      </c>
      <c r="AI27" s="20"/>
      <c r="AJ27" s="23"/>
      <c r="AK27" s="22"/>
    </row>
    <row r="28" spans="1:37" x14ac:dyDescent="0.4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1"/>
      <c r="O28" s="1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2" t="s">
        <v>40</v>
      </c>
      <c r="AF28" s="1"/>
      <c r="AG28" s="1" t="s">
        <v>40</v>
      </c>
      <c r="AI28" s="20"/>
      <c r="AJ28" s="21"/>
      <c r="AK28" s="22"/>
    </row>
    <row r="29" spans="1:37" x14ac:dyDescent="0.4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/>
      <c r="S29" s="1"/>
      <c r="T29" s="1" t="s">
        <v>40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2" t="s">
        <v>40</v>
      </c>
      <c r="AF29" s="1"/>
      <c r="AG29" s="1" t="s">
        <v>40</v>
      </c>
      <c r="AI29" s="20"/>
      <c r="AJ29" s="24"/>
      <c r="AK29" s="22"/>
    </row>
    <row r="30" spans="1:37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3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 t="s">
        <v>60</v>
      </c>
      <c r="AC30" s="1"/>
      <c r="AD30" s="1"/>
      <c r="AE30" s="2"/>
      <c r="AF30" s="1"/>
      <c r="AG30" s="1" t="s">
        <v>40</v>
      </c>
      <c r="AI30" s="20"/>
      <c r="AJ30" s="23"/>
      <c r="AK30" s="22"/>
    </row>
    <row r="31" spans="1:37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2" t="s">
        <v>40</v>
      </c>
      <c r="AF31" s="1"/>
      <c r="AG31" s="1" t="s">
        <v>40</v>
      </c>
      <c r="AI31" s="20"/>
      <c r="AJ31" s="21"/>
      <c r="AK31" s="22"/>
    </row>
    <row r="32" spans="1:37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/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2" t="s">
        <v>40</v>
      </c>
      <c r="AF32" s="1"/>
      <c r="AG32" s="1" t="s">
        <v>40</v>
      </c>
      <c r="AI32" s="20"/>
      <c r="AJ32" s="24"/>
      <c r="AK32" s="22"/>
    </row>
    <row r="33" spans="1:33" x14ac:dyDescent="0.4">
      <c r="B33" s="26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2"/>
      <c r="AF33" s="1"/>
      <c r="AG33" s="1"/>
    </row>
    <row r="34" spans="1:33" x14ac:dyDescent="0.4">
      <c r="A34" s="7" t="s">
        <v>11</v>
      </c>
      <c r="B34" s="26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59</v>
      </c>
      <c r="S34" s="7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2">
        <f>COUNTIF(AE2:AE31,"x")</f>
        <v>15</v>
      </c>
      <c r="AF34" s="1">
        <f>COUNTIF(AF2:AF31,"x")</f>
        <v>6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4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6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6</v>
      </c>
      <c r="N35" s="1">
        <f t="shared" si="6"/>
        <v>5</v>
      </c>
      <c r="O35" s="1">
        <f t="shared" si="6"/>
        <v>5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1">
        <f t="shared" si="6"/>
        <v>3</v>
      </c>
      <c r="T35" s="1">
        <v>0</v>
      </c>
      <c r="V35" s="3"/>
      <c r="W35" s="19" t="s">
        <v>54</v>
      </c>
      <c r="X35" s="3">
        <f>SUM(AC34:AF34)</f>
        <v>61</v>
      </c>
      <c r="Y35" s="16"/>
      <c r="Z35" s="16"/>
      <c r="AA35" s="16"/>
      <c r="AB35" s="16"/>
      <c r="AE35" s="31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9">
        <v>3</v>
      </c>
      <c r="T36" s="9">
        <v>0</v>
      </c>
      <c r="W36" s="10" t="s">
        <v>55</v>
      </c>
      <c r="X36" s="3">
        <f>SUM($AC$34:$AG$34)</f>
        <v>91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-1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-1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-1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56</v>
      </c>
      <c r="X37" s="3">
        <f>SUM(D36:T36)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</row>
    <row r="39" spans="1:33" x14ac:dyDescent="0.4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3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3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1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2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9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3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3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6.4516129032258063E-2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48</v>
      </c>
      <c r="D51" s="12"/>
      <c r="E51" s="12"/>
      <c r="F51" s="12"/>
      <c r="G51" s="12"/>
      <c r="H51" s="12"/>
      <c r="I51" s="12"/>
      <c r="J51" s="12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12"/>
      <c r="T51" s="12" t="s">
        <v>52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57</v>
      </c>
      <c r="N52" s="12" t="s">
        <v>57</v>
      </c>
      <c r="O52" s="12" t="s">
        <v>57</v>
      </c>
      <c r="P52" s="12"/>
      <c r="Q52" s="12" t="s">
        <v>58</v>
      </c>
      <c r="R52" s="12" t="s">
        <v>57</v>
      </c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4">
      <c r="C54" s="12" t="s">
        <v>41</v>
      </c>
      <c r="J54" s="3" t="s">
        <v>53</v>
      </c>
    </row>
    <row r="55" spans="1:20" x14ac:dyDescent="0.4">
      <c r="C55" s="3" t="s">
        <v>50</v>
      </c>
    </row>
    <row r="57" spans="1:20" x14ac:dyDescent="0.4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2017-07-10T20:02:10Z</dcterms:modified>
</cp:coreProperties>
</file>