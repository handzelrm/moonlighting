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6Dj674TySWj+/JQM6eYdA6zavKjVuGdpHDbeVS/fxXk8K2OkdN7WNEBtlE7NA9U/AUUdw6PckSWi/b6Ui9NSew==" workbookSaltValue="mxSgka8tm0mPIjn+9zwkHw==" workbookSpinCount="100000" lockStructure="1"/>
  <bookViews>
    <workbookView xWindow="0" yWindow="0" windowWidth="15617" windowHeight="3634" xr2:uid="{00000000-000D-0000-FFFF-FFFF00000000}"/>
  </bookViews>
  <sheets>
    <sheet name="August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D35" i="3" l="1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C35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2" i="3"/>
  <c r="B48" i="3"/>
  <c r="S48" i="3"/>
  <c r="B49" i="3"/>
  <c r="S49" i="3"/>
  <c r="V33" i="5"/>
  <c r="W33" i="5"/>
  <c r="V34" i="5"/>
  <c r="W34" i="5"/>
  <c r="V35" i="5"/>
  <c r="W35" i="5"/>
  <c r="S36" i="3"/>
  <c r="T36" i="3"/>
  <c r="T37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N35" i="5"/>
  <c r="O35" i="5"/>
  <c r="P35" i="5"/>
  <c r="Q35" i="5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Q47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X6" i="5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X10" i="5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Y18" i="5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Y20" i="5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H34" i="3"/>
  <c r="AG34" i="3"/>
  <c r="AF34" i="3"/>
  <c r="AE34" i="3"/>
  <c r="AD34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I37" i="3"/>
  <c r="J35" i="5"/>
  <c r="Y4" i="5"/>
  <c r="X14" i="5"/>
  <c r="Z15" i="5"/>
  <c r="Y30" i="5"/>
  <c r="X32" i="3"/>
  <c r="W32" i="5"/>
  <c r="Y32" i="3"/>
  <c r="X32" i="5"/>
  <c r="Z32" i="3"/>
  <c r="Y32" i="5"/>
  <c r="AA32" i="3"/>
  <c r="Z32" i="5"/>
  <c r="W32" i="3"/>
  <c r="V32" i="5"/>
  <c r="S37" i="3"/>
  <c r="L37" i="3"/>
  <c r="E37" i="3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I47" i="3"/>
  <c r="E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<sst xmlns="http://schemas.openxmlformats.org/spreadsheetml/2006/main" count="506" uniqueCount="61">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</sst>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0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35"/>
  <sheetViews>
    <sheetView tabSelected="1" zoomScaleNormal="100"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Q28" sqref="Q2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</row>
    <row r="3" spans="1:26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>SHY</v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Yeh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</row>
    <row r="7" spans="1:26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</row>
    <row r="8" spans="1:26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</row>
    <row r="9" spans="1:26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</row>
    <row r="10" spans="1:26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SHY</v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/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Tam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</row>
    <row r="13" spans="1:26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>SHY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Nicholson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</row>
    <row r="14" spans="1:26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</row>
    <row r="15" spans="1:26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>CT</v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Cyr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Hill (Kirk)</v>
      </c>
    </row>
    <row r="16" spans="1:26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/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>Trauma</v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Nicholson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</row>
    <row r="20" spans="1:26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</row>
    <row r="21" spans="1:26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</row>
    <row r="22" spans="1:26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</row>
    <row r="23" spans="1:26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</row>
    <row r="24" spans="1:26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</row>
    <row r="26" spans="1:26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</row>
    <row r="27" spans="1:26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Trauma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>CHP Jr.</v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>SHY</v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Van Der Windt</v>
      </c>
      <c r="W27" s="13" t="str">
        <f>IF(ISBLANK(Master!X27),"",Master!X27)</f>
        <v>Huckaby</v>
      </c>
      <c r="X27" s="13" t="str">
        <f>IF(ISBLANK(Master!Y27),"",Master!Y27)</f>
        <v/>
      </c>
      <c r="Y27" s="13" t="str">
        <f>IF(ISBLANK(Master!Z27),"",Master!Z27)</f>
        <v>Okolo</v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Trauma</v>
      </c>
      <c r="R28" s="13" t="str">
        <f>IF(ISBLANK(Master!R28),"",Master!R28)</f>
        <v>CT</v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Myers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Nicholson</v>
      </c>
    </row>
    <row r="29" spans="1:26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>CHP Jr.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Yeh</v>
      </c>
      <c r="Z29" s="13" t="str">
        <f>IF(ISBLANK(Master!AA29),"",Master!AA29)</f>
        <v>Cyr</v>
      </c>
    </row>
    <row r="30" spans="1:26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>Trauma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Tam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</row>
    <row r="31" spans="1:26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4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9" priority="4">
      <formula>LEN(TRIM(V1))&gt;0</formula>
    </cfRule>
  </conditionalFormatting>
  <conditionalFormatting sqref="W1:W1048576">
    <cfRule type="notContainsBlanks" dxfId="38" priority="3">
      <formula>LEN(TRIM(W1))&gt;0</formula>
    </cfRule>
  </conditionalFormatting>
  <conditionalFormatting sqref="X1:Y1048576">
    <cfRule type="notContainsBlanks" dxfId="37" priority="2">
      <formula>LEN(TRIM(X1))&gt;0</formula>
    </cfRule>
  </conditionalFormatting>
  <conditionalFormatting sqref="Z1:Z1048576">
    <cfRule type="notContainsBlanks" dxfId="36" priority="1">
      <formula>LEN(TRIM(Z1))&gt;0</formula>
    </cfRule>
  </conditionalFormatting>
  <conditionalFormatting sqref="C2:U32">
    <cfRule type="cellIs" dxfId="35" priority="112" operator="equal">
      <formula>$W$1</formula>
    </cfRule>
    <cfRule type="cellIs" dxfId="34" priority="113" operator="equal">
      <formula>$Y$1</formula>
    </cfRule>
    <cfRule type="cellIs" dxfId="33" priority="114" operator="equal">
      <formula>$X$1</formula>
    </cfRule>
    <cfRule type="cellIs" dxfId="32" priority="115" operator="equal">
      <formula>$Z$1</formula>
    </cfRule>
    <cfRule type="cellIs" dxfId="31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0" sqref="E20"/>
    </sheetView>
  </sheetViews>
  <sheetFormatPr defaultColWidth="8.84375" defaultRowHeight="14.6" x14ac:dyDescent="0.4"/>
  <cols>
    <col min="1" max="1" width="11.07421875" style="1" bestFit="1" customWidth="1"/>
    <col min="2" max="2" width="4.69140625" style="1" bestFit="1" customWidth="1"/>
    <col min="3" max="3" width="8.3046875" style="3" customWidth="1"/>
    <col min="4" max="4" width="12.84375" style="3" customWidth="1"/>
    <col min="5" max="5" width="8.15234375" style="5" customWidth="1"/>
    <col min="6" max="6" width="11.4609375" style="3" customWidth="1"/>
    <col min="7" max="7" width="8.921875" style="3" customWidth="1"/>
    <col min="8" max="8" width="9" style="3" customWidth="1"/>
    <col min="9" max="9" width="8.23046875" style="3" customWidth="1"/>
    <col min="10" max="10" width="7.69140625" style="3" customWidth="1"/>
    <col min="11" max="11" width="8.07421875" style="3" customWidth="1"/>
    <col min="12" max="12" width="7.61328125" style="3" customWidth="1"/>
    <col min="13" max="13" width="11.69140625" style="3" bestFit="1" customWidth="1"/>
    <col min="14" max="14" width="10.53515625" style="3" bestFit="1" customWidth="1"/>
    <col min="15" max="15" width="9.4609375" style="3" customWidth="1"/>
    <col min="16" max="16" width="10" style="3" customWidth="1"/>
    <col min="17" max="17" width="8.3828125" style="3" customWidth="1"/>
    <col min="18" max="18" width="8.3046875" style="3" customWidth="1"/>
    <col min="19" max="19" width="7.921875" style="3" customWidth="1"/>
    <col min="20" max="20" width="10.15234375" style="3" bestFit="1" customWidth="1"/>
    <col min="21" max="21" width="6.3046875" style="3" customWidth="1"/>
    <col min="22" max="22" width="11.15234375" style="3" customWidth="1"/>
    <col min="23" max="27" width="16.84375" style="10" bestFit="1" customWidth="1"/>
    <col min="28" max="28" width="16.84375" style="10" customWidth="1"/>
    <col min="29" max="29" width="36.3046875" style="10" customWidth="1"/>
    <col min="30" max="34" width="7.84375" style="3" customWidth="1"/>
    <col min="35" max="35" width="7.765625" style="1" customWidth="1"/>
    <col min="36" max="36" width="19.382812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5" t="s">
        <v>0</v>
      </c>
      <c r="B1" s="26" t="s">
        <v>1</v>
      </c>
      <c r="C1" s="1" t="s">
        <v>13</v>
      </c>
      <c r="D1" s="1" t="s">
        <v>14</v>
      </c>
      <c r="E1" s="2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7" t="s">
        <v>42</v>
      </c>
      <c r="W1" s="4" t="s">
        <v>2</v>
      </c>
      <c r="X1" s="28" t="s">
        <v>23</v>
      </c>
      <c r="Y1" s="28" t="s">
        <v>22</v>
      </c>
      <c r="Z1" s="28" t="s">
        <v>21</v>
      </c>
      <c r="AA1" s="28" t="s">
        <v>3</v>
      </c>
      <c r="AB1" s="4" t="s">
        <v>59</v>
      </c>
      <c r="AC1" s="4"/>
      <c r="AD1" s="4" t="s">
        <v>2</v>
      </c>
      <c r="AE1" s="28" t="s">
        <v>23</v>
      </c>
      <c r="AF1" s="28" t="s">
        <v>22</v>
      </c>
      <c r="AG1" s="28" t="s">
        <v>21</v>
      </c>
      <c r="AH1" s="28" t="s">
        <v>3</v>
      </c>
      <c r="AI1" s="1" t="s">
        <v>59</v>
      </c>
    </row>
    <row r="2" spans="1:38" x14ac:dyDescent="0.4">
      <c r="A2" s="1" t="s">
        <v>5</v>
      </c>
      <c r="B2" s="9">
        <v>1</v>
      </c>
      <c r="C2" s="1"/>
      <c r="D2" s="1" t="s">
        <v>3</v>
      </c>
      <c r="E2" s="2" t="s">
        <v>39</v>
      </c>
      <c r="F2" s="1" t="s">
        <v>39</v>
      </c>
      <c r="G2" s="1" t="s">
        <v>39</v>
      </c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1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1" t="str">
        <f t="shared" si="4"/>
        <v/>
      </c>
      <c r="AC2" s="1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4">
      <c r="A3" s="1" t="s">
        <v>6</v>
      </c>
      <c r="B3" s="9">
        <v>2</v>
      </c>
      <c r="C3" s="1" t="s">
        <v>2</v>
      </c>
      <c r="D3" s="1"/>
      <c r="E3" s="2" t="s">
        <v>39</v>
      </c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4">
      <c r="A4" s="1" t="s">
        <v>7</v>
      </c>
      <c r="B4" s="9">
        <v>3</v>
      </c>
      <c r="C4" s="1"/>
      <c r="D4" s="1"/>
      <c r="E4" s="2" t="s">
        <v>39</v>
      </c>
      <c r="F4" s="1" t="s">
        <v>39</v>
      </c>
      <c r="G4" s="1"/>
      <c r="H4" s="1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1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>Siow</v>
      </c>
      <c r="AC4" s="1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4">
      <c r="A5" s="1" t="s">
        <v>8</v>
      </c>
      <c r="B5" s="9">
        <v>4</v>
      </c>
      <c r="C5" s="1"/>
      <c r="D5" s="1" t="s">
        <v>23</v>
      </c>
      <c r="E5" s="2" t="s">
        <v>39</v>
      </c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4">
      <c r="A6" s="1" t="s">
        <v>9</v>
      </c>
      <c r="B6" s="9">
        <v>5</v>
      </c>
      <c r="C6" s="1"/>
      <c r="D6" s="1" t="s">
        <v>39</v>
      </c>
      <c r="E6" s="2" t="s">
        <v>23</v>
      </c>
      <c r="F6" s="1"/>
      <c r="G6" s="1"/>
      <c r="H6" s="1"/>
      <c r="I6" s="1" t="s">
        <v>39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1" t="s">
        <v>21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Yeh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1" t="str">
        <f t="shared" si="4"/>
        <v/>
      </c>
      <c r="AC6" s="1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4">
      <c r="A7" s="1" t="s">
        <v>4</v>
      </c>
      <c r="B7" s="9">
        <v>6</v>
      </c>
      <c r="C7" s="1" t="s">
        <v>39</v>
      </c>
      <c r="D7" s="1" t="s">
        <v>39</v>
      </c>
      <c r="E7" s="2"/>
      <c r="F7" s="1"/>
      <c r="G7" s="1" t="s">
        <v>39</v>
      </c>
      <c r="H7" s="1"/>
      <c r="I7" s="1" t="s">
        <v>23</v>
      </c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1"/>
      <c r="S7" s="1" t="s">
        <v>39</v>
      </c>
      <c r="T7" s="1" t="s">
        <v>39</v>
      </c>
      <c r="W7" s="1" t="str">
        <f t="shared" si="0"/>
        <v>Dadashzadeh</v>
      </c>
      <c r="X7" s="1" t="str">
        <f t="shared" si="1"/>
        <v>Okolo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1" t="str">
        <f t="shared" si="4"/>
        <v/>
      </c>
      <c r="AC7" s="1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x14ac:dyDescent="0.4">
      <c r="A8" s="1" t="s">
        <v>10</v>
      </c>
      <c r="B8" s="9">
        <v>7</v>
      </c>
      <c r="C8" s="1" t="s">
        <v>39</v>
      </c>
      <c r="D8" s="1" t="s">
        <v>39</v>
      </c>
      <c r="E8" s="2"/>
      <c r="F8" s="1"/>
      <c r="G8" s="1" t="s">
        <v>39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 t="s">
        <v>3</v>
      </c>
      <c r="P8" s="1" t="s">
        <v>23</v>
      </c>
      <c r="Q8" s="1"/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Kulkarni</v>
      </c>
      <c r="Y8" s="1" t="str">
        <f t="shared" si="2"/>
        <v/>
      </c>
      <c r="Z8" s="1" t="str">
        <f t="shared" si="3"/>
        <v/>
      </c>
      <c r="AA8" s="1" t="str">
        <f t="shared" si="4"/>
        <v>Huckaby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5"/>
      <c r="AK8" s="19"/>
      <c r="AL8" s="17"/>
    </row>
    <row r="9" spans="1:38" x14ac:dyDescent="0.4">
      <c r="A9" s="1" t="s">
        <v>5</v>
      </c>
      <c r="B9" s="9">
        <v>8</v>
      </c>
      <c r="C9" s="1" t="s">
        <v>39</v>
      </c>
      <c r="D9" s="1" t="s">
        <v>39</v>
      </c>
      <c r="E9" s="2" t="s">
        <v>39</v>
      </c>
      <c r="F9" s="1" t="s">
        <v>39</v>
      </c>
      <c r="G9" s="1" t="s">
        <v>39</v>
      </c>
      <c r="H9" s="1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1" t="str">
        <f t="shared" si="4"/>
        <v/>
      </c>
      <c r="AC9" s="1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4">
      <c r="A10" s="1" t="s">
        <v>6</v>
      </c>
      <c r="B10" s="9">
        <v>9</v>
      </c>
      <c r="C10" s="1" t="s">
        <v>39</v>
      </c>
      <c r="D10" s="1" t="s">
        <v>39</v>
      </c>
      <c r="E10" s="2" t="s">
        <v>39</v>
      </c>
      <c r="F10" s="1" t="s">
        <v>39</v>
      </c>
      <c r="G10" s="1" t="s">
        <v>39</v>
      </c>
      <c r="H10" s="1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4">
      <c r="A11" s="1" t="s">
        <v>7</v>
      </c>
      <c r="B11" s="9">
        <v>10</v>
      </c>
      <c r="C11" s="1" t="s">
        <v>39</v>
      </c>
      <c r="D11" s="1" t="s">
        <v>39</v>
      </c>
      <c r="E11" s="2" t="s">
        <v>39</v>
      </c>
      <c r="F11" s="1" t="s">
        <v>39</v>
      </c>
      <c r="G11" s="1"/>
      <c r="H11" s="1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4">
      <c r="A12" s="1" t="s">
        <v>8</v>
      </c>
      <c r="B12" s="9">
        <v>11</v>
      </c>
      <c r="C12" s="1" t="s">
        <v>39</v>
      </c>
      <c r="D12" s="1" t="s">
        <v>39</v>
      </c>
      <c r="E12" s="2" t="s">
        <v>2</v>
      </c>
      <c r="F12" s="1" t="s">
        <v>39</v>
      </c>
      <c r="G12" s="1" t="s">
        <v>21</v>
      </c>
      <c r="H12" s="1"/>
      <c r="I12" s="1"/>
      <c r="J12" s="1"/>
      <c r="K12" s="1" t="s">
        <v>23</v>
      </c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1"/>
      <c r="S12" s="1" t="s">
        <v>39</v>
      </c>
      <c r="T12" s="1" t="s">
        <v>39</v>
      </c>
      <c r="W12" s="1" t="str">
        <f t="shared" si="0"/>
        <v>Yeh</v>
      </c>
      <c r="X12" s="1" t="str">
        <f t="shared" si="1"/>
        <v>Tam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1" t="str">
        <f t="shared" si="4"/>
        <v/>
      </c>
      <c r="AC12" s="1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4">
      <c r="A13" s="1" t="s">
        <v>9</v>
      </c>
      <c r="B13" s="9">
        <v>12</v>
      </c>
      <c r="C13" s="1" t="s">
        <v>39</v>
      </c>
      <c r="D13" s="1" t="s">
        <v>39</v>
      </c>
      <c r="E13" s="2"/>
      <c r="F13" s="1" t="s">
        <v>3</v>
      </c>
      <c r="G13" s="1"/>
      <c r="H13" s="1"/>
      <c r="I13" s="1"/>
      <c r="J13" s="1"/>
      <c r="K13" s="1"/>
      <c r="L13" s="1"/>
      <c r="M13" s="1"/>
      <c r="N13" s="1" t="s">
        <v>39</v>
      </c>
      <c r="O13" s="1"/>
      <c r="P13" s="1"/>
      <c r="Q13" s="1"/>
      <c r="R13" s="1" t="s">
        <v>23</v>
      </c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Nicholson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4">
      <c r="A14" s="1" t="s">
        <v>4</v>
      </c>
      <c r="B14" s="9">
        <v>13</v>
      </c>
      <c r="C14" s="1" t="s">
        <v>39</v>
      </c>
      <c r="D14" s="1" t="s">
        <v>39</v>
      </c>
      <c r="E14" s="2"/>
      <c r="F14" s="1"/>
      <c r="G14" s="1" t="s">
        <v>3</v>
      </c>
      <c r="H14" s="1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1"/>
      <c r="S14" s="1" t="s">
        <v>39</v>
      </c>
      <c r="T14" s="1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1" t="str">
        <f t="shared" si="4"/>
        <v/>
      </c>
      <c r="AC14" s="1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4">
      <c r="A15" s="1" t="s">
        <v>10</v>
      </c>
      <c r="B15" s="9">
        <v>14</v>
      </c>
      <c r="C15" s="1"/>
      <c r="D15" s="1" t="s">
        <v>39</v>
      </c>
      <c r="E15" s="2"/>
      <c r="F15" s="1"/>
      <c r="G15" s="1" t="s">
        <v>39</v>
      </c>
      <c r="H15" s="1" t="s">
        <v>3</v>
      </c>
      <c r="I15" s="1" t="s">
        <v>39</v>
      </c>
      <c r="J15" s="1"/>
      <c r="K15" s="1" t="s">
        <v>39</v>
      </c>
      <c r="L15" s="1" t="s">
        <v>23</v>
      </c>
      <c r="M15" s="1"/>
      <c r="N15" s="1" t="s">
        <v>39</v>
      </c>
      <c r="O15" s="1"/>
      <c r="P15" s="1"/>
      <c r="Q15" s="1"/>
      <c r="R15" s="1"/>
      <c r="S15" s="1" t="s">
        <v>39</v>
      </c>
      <c r="T15" s="1" t="s">
        <v>39</v>
      </c>
      <c r="W15" s="1" t="str">
        <f t="shared" si="0"/>
        <v/>
      </c>
      <c r="X15" s="1" t="str">
        <f t="shared" si="1"/>
        <v>Cyr</v>
      </c>
      <c r="Y15" s="1" t="str">
        <f t="shared" si="2"/>
        <v/>
      </c>
      <c r="Z15" s="1" t="str">
        <f t="shared" si="3"/>
        <v/>
      </c>
      <c r="AA15" s="1" t="str">
        <f t="shared" si="4"/>
        <v>Hill (Kirk)</v>
      </c>
      <c r="AB15" s="1" t="str">
        <f t="shared" si="4"/>
        <v/>
      </c>
      <c r="AC15" s="1"/>
      <c r="AD15" s="1"/>
      <c r="AE15" s="1" t="s">
        <v>39</v>
      </c>
      <c r="AF15" s="1"/>
      <c r="AG15" s="1"/>
      <c r="AH15" s="1" t="s">
        <v>39</v>
      </c>
      <c r="AJ15" s="15"/>
      <c r="AK15" s="19"/>
      <c r="AL15" s="17"/>
    </row>
    <row r="16" spans="1:38" x14ac:dyDescent="0.4">
      <c r="A16" s="1" t="s">
        <v>5</v>
      </c>
      <c r="B16" s="9">
        <v>15</v>
      </c>
      <c r="C16" s="1"/>
      <c r="D16" s="1" t="s">
        <v>39</v>
      </c>
      <c r="E16" s="2" t="s">
        <v>39</v>
      </c>
      <c r="F16" s="1" t="s">
        <v>39</v>
      </c>
      <c r="G16" s="1" t="s">
        <v>39</v>
      </c>
      <c r="H16" s="1"/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 t="s">
        <v>2</v>
      </c>
      <c r="S16" s="1" t="s">
        <v>39</v>
      </c>
      <c r="T16" s="1" t="s">
        <v>39</v>
      </c>
      <c r="V16" s="29"/>
      <c r="W16" s="1" t="str">
        <f t="shared" si="0"/>
        <v>Nicholson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 t="s">
        <v>39</v>
      </c>
      <c r="AE16" s="1"/>
      <c r="AF16" s="1"/>
      <c r="AG16" s="1"/>
      <c r="AH16" s="1" t="s">
        <v>39</v>
      </c>
      <c r="AJ16" s="15"/>
      <c r="AK16" s="18"/>
      <c r="AL16" s="17"/>
    </row>
    <row r="17" spans="1:38" x14ac:dyDescent="0.4">
      <c r="A17" s="1" t="s">
        <v>6</v>
      </c>
      <c r="B17" s="9">
        <v>16</v>
      </c>
      <c r="C17" s="1"/>
      <c r="D17" s="1" t="s">
        <v>39</v>
      </c>
      <c r="E17" s="2" t="s">
        <v>39</v>
      </c>
      <c r="F17" s="1" t="s">
        <v>39</v>
      </c>
      <c r="G17" s="1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 t="s">
        <v>2</v>
      </c>
      <c r="N17" s="1"/>
      <c r="O17" s="1"/>
      <c r="P17" s="1"/>
      <c r="Q17" s="1" t="s">
        <v>39</v>
      </c>
      <c r="R17" s="1" t="s">
        <v>39</v>
      </c>
      <c r="S17" s="1" t="s">
        <v>39</v>
      </c>
      <c r="T17" s="1" t="s">
        <v>39</v>
      </c>
      <c r="W17" s="1" t="str">
        <f t="shared" si="0"/>
        <v>Dadashzadeh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 t="s">
        <v>39</v>
      </c>
      <c r="AE17" s="1"/>
      <c r="AF17" s="1"/>
      <c r="AG17" s="1"/>
      <c r="AH17" s="1" t="s">
        <v>39</v>
      </c>
      <c r="AJ17" s="15"/>
      <c r="AK17" s="16"/>
      <c r="AL17" s="17"/>
    </row>
    <row r="18" spans="1:38" x14ac:dyDescent="0.4">
      <c r="A18" s="1" t="s">
        <v>7</v>
      </c>
      <c r="B18" s="9">
        <v>17</v>
      </c>
      <c r="C18" s="1"/>
      <c r="D18" s="1" t="s">
        <v>39</v>
      </c>
      <c r="E18" s="2" t="s">
        <v>39</v>
      </c>
      <c r="F18" s="1" t="s">
        <v>39</v>
      </c>
      <c r="G18" s="1" t="s">
        <v>23</v>
      </c>
      <c r="H18" s="1"/>
      <c r="I18" s="1" t="s">
        <v>39</v>
      </c>
      <c r="J18" s="1"/>
      <c r="K18" s="1" t="s">
        <v>39</v>
      </c>
      <c r="L18" s="1"/>
      <c r="M18" s="1"/>
      <c r="N18" s="1" t="s">
        <v>21</v>
      </c>
      <c r="O18" s="1" t="s">
        <v>3</v>
      </c>
      <c r="P18" s="1"/>
      <c r="Q18" s="1" t="s">
        <v>39</v>
      </c>
      <c r="R18" s="1" t="s">
        <v>39</v>
      </c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Handzel</v>
      </c>
      <c r="Y18" s="1" t="str">
        <f t="shared" si="2"/>
        <v/>
      </c>
      <c r="Z18" s="1" t="str">
        <f t="shared" si="3"/>
        <v>Gallagher</v>
      </c>
      <c r="AA18" s="1" t="str">
        <f t="shared" si="4"/>
        <v>Huckaby</v>
      </c>
      <c r="AB18" s="1" t="str">
        <f t="shared" si="4"/>
        <v/>
      </c>
      <c r="AC18" s="1"/>
      <c r="AD18" s="1"/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4">
      <c r="A19" s="1" t="s">
        <v>8</v>
      </c>
      <c r="B19" s="9">
        <v>18</v>
      </c>
      <c r="C19" s="1" t="s">
        <v>3</v>
      </c>
      <c r="D19" s="1" t="s">
        <v>39</v>
      </c>
      <c r="E19" s="2"/>
      <c r="F19" s="1"/>
      <c r="G19" s="1"/>
      <c r="H19" s="1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1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s="5" customFormat="1" x14ac:dyDescent="0.4">
      <c r="A20" s="2" t="s">
        <v>9</v>
      </c>
      <c r="B20" s="21">
        <v>19</v>
      </c>
      <c r="C20" s="2"/>
      <c r="D20" s="2" t="s">
        <v>39</v>
      </c>
      <c r="E20" s="2"/>
      <c r="F20" s="2" t="s">
        <v>3</v>
      </c>
      <c r="G20" s="2"/>
      <c r="H20" s="2"/>
      <c r="I20" s="2" t="s">
        <v>39</v>
      </c>
      <c r="J20" s="2"/>
      <c r="K20" s="2" t="s">
        <v>21</v>
      </c>
      <c r="L20" s="2" t="s">
        <v>2</v>
      </c>
      <c r="M20" s="2" t="s">
        <v>23</v>
      </c>
      <c r="N20" s="2" t="s">
        <v>39</v>
      </c>
      <c r="O20" s="2"/>
      <c r="P20" s="2"/>
      <c r="Q20" s="2"/>
      <c r="R20" s="2"/>
      <c r="S20" s="2" t="s">
        <v>39</v>
      </c>
      <c r="T20" s="2" t="s">
        <v>39</v>
      </c>
      <c r="W20" s="2" t="str">
        <f t="shared" si="0"/>
        <v>Cyr</v>
      </c>
      <c r="X20" s="2" t="str">
        <f t="shared" si="1"/>
        <v>Dadashzadeh</v>
      </c>
      <c r="Y20" s="2" t="str">
        <f t="shared" si="2"/>
        <v/>
      </c>
      <c r="Z20" s="2" t="str">
        <f t="shared" si="3"/>
        <v>Tam</v>
      </c>
      <c r="AA20" s="2" t="str">
        <f t="shared" si="4"/>
        <v>Griepentrog</v>
      </c>
      <c r="AB20" s="2" t="str">
        <f t="shared" si="4"/>
        <v/>
      </c>
      <c r="AC20" s="2"/>
      <c r="AD20" s="2" t="s">
        <v>39</v>
      </c>
      <c r="AE20" s="2" t="s">
        <v>39</v>
      </c>
      <c r="AF20" s="2"/>
      <c r="AG20" s="2" t="s">
        <v>39</v>
      </c>
      <c r="AH20" s="2" t="s">
        <v>39</v>
      </c>
      <c r="AI20" s="2"/>
      <c r="AJ20" s="30"/>
      <c r="AK20" s="32"/>
      <c r="AL20" s="31"/>
    </row>
    <row r="21" spans="1:38" x14ac:dyDescent="0.4">
      <c r="A21" s="1" t="s">
        <v>4</v>
      </c>
      <c r="B21" s="9">
        <v>20</v>
      </c>
      <c r="C21" s="1"/>
      <c r="D21" s="1" t="s">
        <v>39</v>
      </c>
      <c r="E21" s="2"/>
      <c r="F21" s="1"/>
      <c r="G21" s="1" t="s">
        <v>3</v>
      </c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1" t="s">
        <v>23</v>
      </c>
      <c r="S21" s="1" t="s">
        <v>39</v>
      </c>
      <c r="T21" s="1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1" t="str">
        <f t="shared" si="4"/>
        <v/>
      </c>
      <c r="AC21" s="1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4">
      <c r="A22" s="1" t="s">
        <v>10</v>
      </c>
      <c r="B22" s="9">
        <v>21</v>
      </c>
      <c r="C22" s="1"/>
      <c r="D22" s="1" t="s">
        <v>39</v>
      </c>
      <c r="E22" s="2" t="s">
        <v>39</v>
      </c>
      <c r="F22" s="1"/>
      <c r="G22" s="1" t="s">
        <v>39</v>
      </c>
      <c r="H22" s="1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1" t="str">
        <f t="shared" si="4"/>
        <v/>
      </c>
      <c r="AC22" s="1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4">
      <c r="A23" s="1" t="s">
        <v>5</v>
      </c>
      <c r="B23" s="9">
        <v>22</v>
      </c>
      <c r="C23" s="1"/>
      <c r="D23" s="1" t="s">
        <v>39</v>
      </c>
      <c r="E23" s="2" t="s">
        <v>39</v>
      </c>
      <c r="F23" s="1"/>
      <c r="G23" s="1" t="s">
        <v>2</v>
      </c>
      <c r="H23" s="1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1" t="str">
        <f t="shared" si="4"/>
        <v/>
      </c>
      <c r="AC23" s="1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4">
      <c r="A24" s="1" t="s">
        <v>6</v>
      </c>
      <c r="B24" s="9">
        <v>23</v>
      </c>
      <c r="C24" s="1"/>
      <c r="D24" s="1" t="s">
        <v>39</v>
      </c>
      <c r="E24" s="2" t="s">
        <v>39</v>
      </c>
      <c r="F24" s="1" t="s">
        <v>2</v>
      </c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 t="s">
        <v>39</v>
      </c>
      <c r="T24" s="1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4">
      <c r="A25" s="1" t="s">
        <v>7</v>
      </c>
      <c r="B25" s="9">
        <v>24</v>
      </c>
      <c r="C25" s="1"/>
      <c r="D25" s="1" t="s">
        <v>39</v>
      </c>
      <c r="E25" s="2" t="s">
        <v>39</v>
      </c>
      <c r="F25" s="1"/>
      <c r="G25" s="1"/>
      <c r="H25" s="1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 t="s">
        <v>3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1" t="str">
        <f t="shared" si="4"/>
        <v/>
      </c>
      <c r="AC25" s="1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4">
      <c r="A26" s="1" t="s">
        <v>8</v>
      </c>
      <c r="B26" s="9">
        <v>25</v>
      </c>
      <c r="C26" s="1" t="s">
        <v>3</v>
      </c>
      <c r="D26" s="1" t="s">
        <v>39</v>
      </c>
      <c r="E26" s="2" t="s">
        <v>39</v>
      </c>
      <c r="F26" s="1"/>
      <c r="G26" s="1"/>
      <c r="H26" s="1"/>
      <c r="I26" s="1"/>
      <c r="J26" s="1" t="s">
        <v>2</v>
      </c>
      <c r="K26" s="1"/>
      <c r="L26" s="1" t="s">
        <v>21</v>
      </c>
      <c r="M26" s="1" t="s">
        <v>23</v>
      </c>
      <c r="N26" s="1" t="s">
        <v>39</v>
      </c>
      <c r="O26" s="1" t="s">
        <v>39</v>
      </c>
      <c r="P26" s="1" t="s">
        <v>39</v>
      </c>
      <c r="Q26" s="1"/>
      <c r="R26" s="1"/>
      <c r="S26" s="1" t="s">
        <v>39</v>
      </c>
      <c r="T26" s="1" t="s">
        <v>39</v>
      </c>
      <c r="W26" s="1" t="str">
        <f t="shared" si="0"/>
        <v>Siow</v>
      </c>
      <c r="X26" s="1" t="str">
        <f t="shared" si="1"/>
        <v>Dadashzadeh</v>
      </c>
      <c r="Y26" s="1" t="str">
        <f t="shared" si="2"/>
        <v/>
      </c>
      <c r="Z26" s="1" t="str">
        <f t="shared" si="3"/>
        <v>Cyr</v>
      </c>
      <c r="AA26" s="1" t="str">
        <f t="shared" si="4"/>
        <v>Dyer</v>
      </c>
      <c r="AB26" s="1" t="str">
        <f t="shared" si="4"/>
        <v/>
      </c>
      <c r="AC26" s="1"/>
      <c r="AD26" s="1" t="s">
        <v>39</v>
      </c>
      <c r="AE26" s="1" t="s">
        <v>39</v>
      </c>
      <c r="AF26" s="1"/>
      <c r="AG26" s="1" t="s">
        <v>39</v>
      </c>
      <c r="AH26" s="1" t="s">
        <v>39</v>
      </c>
      <c r="AJ26" s="15"/>
      <c r="AK26" s="22"/>
      <c r="AL26" s="17"/>
    </row>
    <row r="27" spans="1:38" x14ac:dyDescent="0.4">
      <c r="A27" s="1" t="s">
        <v>9</v>
      </c>
      <c r="B27" s="9">
        <v>26</v>
      </c>
      <c r="C27" s="1"/>
      <c r="D27" s="1" t="s">
        <v>2</v>
      </c>
      <c r="E27" s="2"/>
      <c r="F27" s="1"/>
      <c r="G27" s="1" t="s">
        <v>39</v>
      </c>
      <c r="H27" s="1"/>
      <c r="I27" s="1" t="s">
        <v>21</v>
      </c>
      <c r="J27" s="1"/>
      <c r="K27" s="1"/>
      <c r="L27" s="1"/>
      <c r="M27" s="1"/>
      <c r="N27" s="1" t="s">
        <v>39</v>
      </c>
      <c r="O27" s="1" t="s">
        <v>23</v>
      </c>
      <c r="P27" s="1" t="s">
        <v>39</v>
      </c>
      <c r="Q27" s="1"/>
      <c r="R27" s="1"/>
      <c r="S27" s="1" t="s">
        <v>39</v>
      </c>
      <c r="T27" s="1" t="s">
        <v>39</v>
      </c>
      <c r="W27" s="1" t="str">
        <f t="shared" si="0"/>
        <v>Van Der Windt</v>
      </c>
      <c r="X27" s="1" t="str">
        <f t="shared" si="1"/>
        <v>Huckaby</v>
      </c>
      <c r="Y27" s="1" t="str">
        <f t="shared" si="2"/>
        <v/>
      </c>
      <c r="Z27" s="1" t="str">
        <f t="shared" si="3"/>
        <v>Okolo</v>
      </c>
      <c r="AA27" s="1" t="str">
        <f t="shared" si="4"/>
        <v>NEEDS COVERAGE</v>
      </c>
      <c r="AB27" s="1" t="str">
        <f t="shared" si="4"/>
        <v/>
      </c>
      <c r="AC27" s="1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4">
      <c r="A28" s="1" t="s">
        <v>4</v>
      </c>
      <c r="B28" s="9">
        <v>27</v>
      </c>
      <c r="C28" s="1"/>
      <c r="D28" s="1" t="s">
        <v>39</v>
      </c>
      <c r="E28" s="2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1" t="s">
        <v>23</v>
      </c>
      <c r="O28" s="1"/>
      <c r="P28" s="1" t="s">
        <v>39</v>
      </c>
      <c r="Q28" s="1" t="s">
        <v>2</v>
      </c>
      <c r="R28" s="1" t="s">
        <v>3</v>
      </c>
      <c r="S28" s="1" t="s">
        <v>39</v>
      </c>
      <c r="T28" s="1" t="s">
        <v>39</v>
      </c>
      <c r="W28" s="1" t="str">
        <f t="shared" si="0"/>
        <v>Myers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Nicholson</v>
      </c>
      <c r="AB28" s="1" t="str">
        <f t="shared" si="4"/>
        <v/>
      </c>
      <c r="AC28" s="1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x14ac:dyDescent="0.4">
      <c r="A29" s="1" t="s">
        <v>10</v>
      </c>
      <c r="B29" s="9">
        <v>28</v>
      </c>
      <c r="C29" s="1" t="s">
        <v>23</v>
      </c>
      <c r="D29" s="1"/>
      <c r="E29" s="2" t="s">
        <v>21</v>
      </c>
      <c r="F29" s="1"/>
      <c r="G29" s="1" t="s">
        <v>39</v>
      </c>
      <c r="H29" s="1" t="s">
        <v>39</v>
      </c>
      <c r="I29" s="1"/>
      <c r="J29" s="1"/>
      <c r="K29" s="1"/>
      <c r="L29" s="1" t="s">
        <v>3</v>
      </c>
      <c r="M29" s="1"/>
      <c r="N29" s="1" t="s">
        <v>39</v>
      </c>
      <c r="O29" s="1"/>
      <c r="P29" s="1" t="s">
        <v>39</v>
      </c>
      <c r="Q29" s="1"/>
      <c r="R29" s="1"/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Dyer</v>
      </c>
      <c r="Y29" s="1" t="str">
        <f t="shared" si="2"/>
        <v/>
      </c>
      <c r="Z29" s="1" t="str">
        <f t="shared" si="3"/>
        <v>Yeh</v>
      </c>
      <c r="AA29" s="1" t="str">
        <f t="shared" si="4"/>
        <v>Cyr</v>
      </c>
      <c r="AB29" s="1" t="str">
        <f t="shared" si="4"/>
        <v/>
      </c>
      <c r="AC29" s="1"/>
      <c r="AD29" s="1"/>
      <c r="AE29" s="1" t="s">
        <v>39</v>
      </c>
      <c r="AF29" s="1"/>
      <c r="AG29" s="1" t="s">
        <v>39</v>
      </c>
      <c r="AH29" s="1" t="s">
        <v>39</v>
      </c>
      <c r="AJ29" s="15"/>
      <c r="AK29" s="22"/>
      <c r="AL29" s="17"/>
    </row>
    <row r="30" spans="1:38" x14ac:dyDescent="0.4">
      <c r="A30" s="1" t="s">
        <v>5</v>
      </c>
      <c r="B30" s="9">
        <v>29</v>
      </c>
      <c r="C30" s="1"/>
      <c r="D30" s="1"/>
      <c r="E30" s="2"/>
      <c r="F30" s="1"/>
      <c r="G30" s="1" t="s">
        <v>39</v>
      </c>
      <c r="H30" s="1" t="s">
        <v>39</v>
      </c>
      <c r="I30" s="1" t="s">
        <v>3</v>
      </c>
      <c r="J30" s="1" t="s">
        <v>39</v>
      </c>
      <c r="K30" s="1" t="s">
        <v>2</v>
      </c>
      <c r="L30" s="1"/>
      <c r="M30" s="1" t="s">
        <v>39</v>
      </c>
      <c r="N30" s="1"/>
      <c r="O30" s="1"/>
      <c r="P30" s="1"/>
      <c r="Q30" s="1"/>
      <c r="R30" s="1"/>
      <c r="S30" s="1" t="s">
        <v>39</v>
      </c>
      <c r="T30" s="1" t="s">
        <v>39</v>
      </c>
      <c r="W30" s="1" t="str">
        <f t="shared" si="0"/>
        <v>Tam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1" t="str">
        <f t="shared" si="4"/>
        <v/>
      </c>
      <c r="AC30" s="1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4">
      <c r="A31" s="1" t="s">
        <v>6</v>
      </c>
      <c r="B31" s="9">
        <v>30</v>
      </c>
      <c r="C31" s="1"/>
      <c r="D31" s="1"/>
      <c r="E31" s="2" t="s">
        <v>39</v>
      </c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4">
      <c r="B32" s="9"/>
      <c r="C32" s="1"/>
      <c r="D32" s="1"/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H32" s="1"/>
      <c r="AJ32" s="15"/>
      <c r="AK32" s="22"/>
      <c r="AL32" s="17"/>
    </row>
    <row r="33" spans="1:37" x14ac:dyDescent="0.4">
      <c r="B33" s="20"/>
      <c r="C33" s="1"/>
      <c r="D33" s="1"/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4">
      <c r="A34" s="7" t="s">
        <v>11</v>
      </c>
      <c r="B34" s="20"/>
      <c r="C34" s="7" t="s">
        <v>50</v>
      </c>
      <c r="D34" s="7" t="s">
        <v>41</v>
      </c>
      <c r="E34" s="33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 t="s">
        <v>60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17</v>
      </c>
      <c r="AE34" s="1">
        <f>COUNTIF(AE2:AE31,"x")</f>
        <v>20</v>
      </c>
      <c r="AF34" s="1">
        <f>COUNTIF(AF2:AF31,"x")</f>
        <v>1</v>
      </c>
      <c r="AG34" s="1">
        <f>COUNTIF(AG2:AG31,"x")</f>
        <v>11</v>
      </c>
      <c r="AH34" s="1">
        <f>COUNTIF(AH2:AH31,"x")</f>
        <v>30</v>
      </c>
      <c r="AK34" s="22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3</v>
      </c>
      <c r="E35" s="2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4</v>
      </c>
      <c r="M35" s="1">
        <f t="shared" si="5"/>
        <v>5</v>
      </c>
      <c r="N35" s="1">
        <f t="shared" si="5"/>
        <v>5</v>
      </c>
      <c r="O35" s="1">
        <f t="shared" si="5"/>
        <v>5</v>
      </c>
      <c r="P35" s="1">
        <f t="shared" si="5"/>
        <v>3</v>
      </c>
      <c r="Q35" s="1">
        <f t="shared" si="5"/>
        <v>5</v>
      </c>
      <c r="R35" s="1">
        <f t="shared" si="5"/>
        <v>6</v>
      </c>
      <c r="S35" s="1">
        <f t="shared" si="5"/>
        <v>0</v>
      </c>
      <c r="T35" s="1">
        <f t="shared" si="5"/>
        <v>0</v>
      </c>
      <c r="V35" s="3"/>
      <c r="Y35" s="24"/>
      <c r="Z35" s="24"/>
      <c r="AA35" s="24"/>
      <c r="AB35" s="24"/>
      <c r="AC35" s="24"/>
      <c r="AI35" s="7"/>
      <c r="AK35" s="22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3</v>
      </c>
      <c r="E36" s="21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4</v>
      </c>
      <c r="M36" s="9">
        <f t="shared" si="7"/>
        <v>5</v>
      </c>
      <c r="N36" s="9">
        <f t="shared" si="7"/>
        <v>5</v>
      </c>
      <c r="O36" s="9">
        <f t="shared" si="7"/>
        <v>5</v>
      </c>
      <c r="P36" s="9">
        <f t="shared" si="7"/>
        <v>3</v>
      </c>
      <c r="Q36" s="9">
        <f t="shared" si="7"/>
        <v>5</v>
      </c>
      <c r="R36" s="9">
        <f t="shared" si="7"/>
        <v>6</v>
      </c>
      <c r="S36" s="9">
        <f t="shared" si="7"/>
        <v>0</v>
      </c>
      <c r="T36" s="9">
        <f t="shared" si="7"/>
        <v>0</v>
      </c>
      <c r="W36" s="14" t="s">
        <v>45</v>
      </c>
      <c r="X36" s="3">
        <f>SUM(AD34:AG34)</f>
        <v>49</v>
      </c>
      <c r="AK36" s="22"/>
    </row>
    <row r="37" spans="1:37" x14ac:dyDescent="0.4">
      <c r="A37" s="1" t="s">
        <v>30</v>
      </c>
      <c r="B37" s="9"/>
      <c r="C37" s="9">
        <f t="shared" ref="C37:T37" si="8">C36-C35</f>
        <v>0</v>
      </c>
      <c r="D37" s="9">
        <f t="shared" si="8"/>
        <v>0</v>
      </c>
      <c r="E37" s="21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S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8"/>
        <v>0</v>
      </c>
      <c r="W37" s="10" t="s">
        <v>46</v>
      </c>
      <c r="X37" s="3">
        <f>SUM($AD$34:$AH$34)</f>
        <v>79</v>
      </c>
      <c r="AK37" s="22"/>
    </row>
    <row r="38" spans="1:37" x14ac:dyDescent="0.4">
      <c r="A38" s="1" t="s">
        <v>29</v>
      </c>
      <c r="B38" s="9"/>
      <c r="C38" s="9"/>
      <c r="D38" s="9"/>
      <c r="E38" s="21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67</v>
      </c>
      <c r="AK38" s="22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1</v>
      </c>
      <c r="E39" s="21">
        <f t="shared" si="10"/>
        <v>1</v>
      </c>
      <c r="F39" s="9">
        <f t="shared" si="10"/>
        <v>1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1</v>
      </c>
      <c r="Q39" s="9">
        <f t="shared" si="10"/>
        <v>2</v>
      </c>
      <c r="R39" s="9">
        <f t="shared" si="10"/>
        <v>1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21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21">
        <f t="shared" si="11"/>
        <v>1</v>
      </c>
      <c r="F41" s="9">
        <f t="shared" si="11"/>
        <v>0</v>
      </c>
      <c r="G41" s="9">
        <f t="shared" si="11"/>
        <v>1</v>
      </c>
      <c r="H41" s="9">
        <f t="shared" si="11"/>
        <v>0</v>
      </c>
      <c r="I41" s="9">
        <f t="shared" si="11"/>
        <v>1</v>
      </c>
      <c r="J41" s="9">
        <f t="shared" si="11"/>
        <v>0</v>
      </c>
      <c r="K41" s="9">
        <f t="shared" si="11"/>
        <v>1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21">
        <f t="shared" si="11"/>
        <v>1</v>
      </c>
      <c r="F42" s="9">
        <f t="shared" si="11"/>
        <v>0</v>
      </c>
      <c r="G42" s="9">
        <f t="shared" si="11"/>
        <v>1</v>
      </c>
      <c r="H42" s="9">
        <f t="shared" si="11"/>
        <v>2</v>
      </c>
      <c r="I42" s="9">
        <f t="shared" si="11"/>
        <v>2</v>
      </c>
      <c r="J42" s="9">
        <f t="shared" si="11"/>
        <v>1</v>
      </c>
      <c r="K42" s="9">
        <f t="shared" si="11"/>
        <v>1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1</v>
      </c>
      <c r="Q42" s="9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1</v>
      </c>
      <c r="E43" s="21">
        <f t="shared" si="11"/>
        <v>0</v>
      </c>
      <c r="F43" s="9">
        <f t="shared" si="11"/>
        <v>2</v>
      </c>
      <c r="G43" s="9">
        <f t="shared" si="11"/>
        <v>2</v>
      </c>
      <c r="H43" s="9">
        <f t="shared" si="11"/>
        <v>2</v>
      </c>
      <c r="I43" s="9">
        <f t="shared" si="11"/>
        <v>1</v>
      </c>
      <c r="J43" s="9">
        <f t="shared" si="11"/>
        <v>1</v>
      </c>
      <c r="K43" s="9">
        <f t="shared" si="11"/>
        <v>2</v>
      </c>
      <c r="L43" s="9">
        <f t="shared" si="11"/>
        <v>1</v>
      </c>
      <c r="M43" s="9">
        <f t="shared" si="11"/>
        <v>0</v>
      </c>
      <c r="N43" s="9">
        <f t="shared" si="11"/>
        <v>1</v>
      </c>
      <c r="O43" s="9">
        <f t="shared" si="11"/>
        <v>2</v>
      </c>
      <c r="P43" s="9">
        <f t="shared" si="11"/>
        <v>0</v>
      </c>
      <c r="Q43" s="9">
        <f t="shared" si="11"/>
        <v>2</v>
      </c>
      <c r="R43" s="9">
        <f t="shared" si="11"/>
        <v>2</v>
      </c>
      <c r="S43" s="9">
        <f t="shared" si="11"/>
        <v>0</v>
      </c>
      <c r="T43" s="9">
        <f t="shared" si="11"/>
        <v>0</v>
      </c>
      <c r="AK43" s="22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2">
        <f t="shared" si="12"/>
        <v>0</v>
      </c>
      <c r="F44" s="1">
        <f t="shared" si="12"/>
        <v>0</v>
      </c>
      <c r="G44" s="1">
        <f t="shared" si="12"/>
        <v>1</v>
      </c>
      <c r="H44" s="1">
        <f t="shared" si="12"/>
        <v>0</v>
      </c>
      <c r="I44" s="1">
        <f t="shared" si="12"/>
        <v>1</v>
      </c>
      <c r="J44" s="1">
        <f t="shared" si="12"/>
        <v>1</v>
      </c>
      <c r="K44" s="1">
        <f t="shared" si="12"/>
        <v>2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1</v>
      </c>
      <c r="S44" s="1"/>
      <c r="T44" s="1">
        <f t="shared" si="12"/>
        <v>0</v>
      </c>
      <c r="AK44" s="22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1</v>
      </c>
      <c r="D45" s="1">
        <f t="shared" si="14"/>
        <v>0</v>
      </c>
      <c r="E45" s="2">
        <f t="shared" si="14"/>
        <v>0</v>
      </c>
      <c r="F45" s="1">
        <f t="shared" si="14"/>
        <v>1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1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2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1</v>
      </c>
      <c r="I46" s="1">
        <f t="shared" si="16"/>
        <v>0</v>
      </c>
      <c r="J46" s="1">
        <f t="shared" si="16"/>
        <v>1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1</v>
      </c>
      <c r="O46" s="1">
        <f t="shared" si="17"/>
        <v>2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1</v>
      </c>
      <c r="E47" s="2">
        <f t="shared" si="18"/>
        <v>0</v>
      </c>
      <c r="F47" s="1">
        <f t="shared" si="18"/>
        <v>1</v>
      </c>
      <c r="G47" s="1">
        <f t="shared" si="18"/>
        <v>2</v>
      </c>
      <c r="H47" s="1">
        <f t="shared" si="18"/>
        <v>2</v>
      </c>
      <c r="I47" s="1">
        <f t="shared" si="18"/>
        <v>1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0</v>
      </c>
      <c r="M47" s="1">
        <f t="shared" si="19"/>
        <v>2</v>
      </c>
      <c r="N47" s="1">
        <f t="shared" si="19"/>
        <v>2</v>
      </c>
      <c r="O47" s="1">
        <f t="shared" si="19"/>
        <v>2</v>
      </c>
      <c r="P47" s="1">
        <f t="shared" si="19"/>
        <v>0</v>
      </c>
      <c r="Q47" s="1">
        <f t="shared" si="19"/>
        <v>1</v>
      </c>
      <c r="R47" s="1">
        <f t="shared" si="19"/>
        <v>2</v>
      </c>
      <c r="S47" s="1"/>
      <c r="T47" s="1">
        <f t="shared" si="18"/>
        <v>0</v>
      </c>
      <c r="AK47" s="22"/>
    </row>
    <row r="48" spans="1:37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34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0.42857142857142855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3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0.26666666666666666</v>
      </c>
      <c r="D49" s="11">
        <f t="shared" si="20"/>
        <v>0.73333333333333328</v>
      </c>
      <c r="E49" s="34">
        <f t="shared" si="20"/>
        <v>0.53333333333333333</v>
      </c>
      <c r="F49" s="11">
        <f t="shared" si="20"/>
        <v>0.33333333333333331</v>
      </c>
      <c r="G49" s="11">
        <f t="shared" si="20"/>
        <v>0.4</v>
      </c>
      <c r="H49" s="11">
        <f t="shared" si="20"/>
        <v>0.16666666666666666</v>
      </c>
      <c r="I49" s="11">
        <f t="shared" si="20"/>
        <v>0.5</v>
      </c>
      <c r="J49" s="11">
        <f t="shared" si="20"/>
        <v>0.23333333333333334</v>
      </c>
      <c r="K49" s="11">
        <f t="shared" si="20"/>
        <v>0.6</v>
      </c>
      <c r="L49" s="11">
        <f t="shared" si="20"/>
        <v>0.5</v>
      </c>
      <c r="M49" s="11">
        <f t="shared" si="20"/>
        <v>0.2</v>
      </c>
      <c r="N49" s="11">
        <f t="shared" si="20"/>
        <v>0.6</v>
      </c>
      <c r="O49" s="11">
        <f t="shared" si="20"/>
        <v>0.13333333333333333</v>
      </c>
      <c r="P49" s="11">
        <f t="shared" si="20"/>
        <v>0.46666666666666667</v>
      </c>
      <c r="Q49" s="11">
        <f t="shared" si="20"/>
        <v>0.3</v>
      </c>
      <c r="R49" s="11">
        <f t="shared" si="20"/>
        <v>0.2</v>
      </c>
      <c r="S49" s="11">
        <f t="shared" si="20"/>
        <v>1</v>
      </c>
      <c r="T49" s="11">
        <f t="shared" si="20"/>
        <v>1</v>
      </c>
      <c r="AK49" s="22"/>
    </row>
    <row r="50" spans="1:37" x14ac:dyDescent="0.4">
      <c r="A50" s="3"/>
      <c r="B50" s="12"/>
      <c r="C50" s="3" t="s">
        <v>43</v>
      </c>
      <c r="D50" s="12"/>
      <c r="E50" s="35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44</v>
      </c>
      <c r="AK50" s="22"/>
    </row>
    <row r="51" spans="1:37" x14ac:dyDescent="0.4">
      <c r="A51" s="12"/>
      <c r="B51" s="12"/>
      <c r="D51" s="12" t="s">
        <v>54</v>
      </c>
      <c r="E51" s="35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K51" s="22"/>
    </row>
    <row r="52" spans="1:37" x14ac:dyDescent="0.4">
      <c r="A52" s="12"/>
      <c r="B52" s="12"/>
      <c r="C52" s="12"/>
      <c r="D52" s="12" t="s">
        <v>55</v>
      </c>
      <c r="E52" s="35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 t="s">
        <v>56</v>
      </c>
      <c r="E53" s="35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/>
    </row>
    <row r="57" spans="1:37" x14ac:dyDescent="0.4">
      <c r="C57" s="8"/>
    </row>
  </sheetData>
  <conditionalFormatting sqref="I8:S8 C4:C30 D4:S7 D8:G8 D9:S30 C31:S32 H8:H28 D7:D28 T2:T33 N5:N22">
    <cfRule type="containsText" dxfId="30" priority="77" stopIfTrue="1" operator="containsText" text="CHP Jr.">
      <formula>NOT(ISERROR(SEARCH("CHP Jr.",C2)))</formula>
    </cfRule>
    <cfRule type="containsText" dxfId="29" priority="95" stopIfTrue="1" operator="containsText" text="SHY">
      <formula>NOT(ISERROR(SEARCH("SHY",C2)))</formula>
    </cfRule>
    <cfRule type="containsText" dxfId="28" priority="96" stopIfTrue="1" operator="containsText" text="CT">
      <formula>NOT(ISERROR(SEARCH("CT",C2)))</formula>
    </cfRule>
  </conditionalFormatting>
  <conditionalFormatting sqref="AF1:AG1048576 Y1:Z1048576">
    <cfRule type="notContainsBlanks" dxfId="27" priority="98">
      <formula>LEN(TRIM(Y1))&gt;0</formula>
    </cfRule>
  </conditionalFormatting>
  <conditionalFormatting sqref="C2:T3 T3:T33 C4:S32 S3:S31">
    <cfRule type="containsText" dxfId="26" priority="51" operator="containsText" text="Transplant">
      <formula>NOT(ISERROR(SEARCH("Transplant",C2)))</formula>
    </cfRule>
    <cfRule type="containsText" dxfId="25" priority="97" stopIfTrue="1" operator="containsText" text="CHP Sr.">
      <formula>NOT(ISERROR(SEARCH("CHP Sr.",C2)))</formula>
    </cfRule>
  </conditionalFormatting>
  <conditionalFormatting sqref="H8 C2:S3 S3:S31">
    <cfRule type="containsText" dxfId="24" priority="42" stopIfTrue="1" operator="containsText" text="CHP Jr.">
      <formula>NOT(ISERROR(SEARCH("CHP Jr.",C2)))</formula>
    </cfRule>
    <cfRule type="containsText" dxfId="23" priority="43" stopIfTrue="1" operator="containsText" text="Trauma">
      <formula>NOT(ISERROR(SEARCH("Trauma",C2)))</formula>
    </cfRule>
    <cfRule type="containsText" dxfId="22" priority="44" stopIfTrue="1" operator="containsText" text="SHY">
      <formula>NOT(ISERROR(SEARCH("SHY",C2)))</formula>
    </cfRule>
    <cfRule type="containsText" dxfId="21" priority="45" stopIfTrue="1" operator="containsText" text="CT">
      <formula>NOT(ISERROR(SEARCH("CT",C2)))</formula>
    </cfRule>
  </conditionalFormatting>
  <conditionalFormatting sqref="X1:X34 X39:X1048576 AE1:AE1048576">
    <cfRule type="notContainsBlanks" dxfId="20" priority="33">
      <formula>LEN(TRIM(X1))&gt;0</formula>
    </cfRule>
  </conditionalFormatting>
  <conditionalFormatting sqref="AH1:AH1048576 AA1:AC1048576">
    <cfRule type="notContainsBlanks" dxfId="19" priority="32">
      <formula>LEN(TRIM(AA1))&gt;0</formula>
    </cfRule>
  </conditionalFormatting>
  <conditionalFormatting sqref="AD1:AD1048576 W1:W34 W36:W1048576">
    <cfRule type="notContainsBlanks" dxfId="18" priority="29">
      <formula>LEN(TRIM(W1))&gt;0</formula>
    </cfRule>
  </conditionalFormatting>
  <conditionalFormatting sqref="X2:AC32">
    <cfRule type="notContainsBlanks" dxfId="17" priority="99">
      <formula>LEN(TRIM(X2))&gt;0</formula>
    </cfRule>
  </conditionalFormatting>
  <conditionalFormatting sqref="C47:T47">
    <cfRule type="cellIs" dxfId="16" priority="22" operator="greaterThanOrEqual">
      <formula>3</formula>
    </cfRule>
    <cfRule type="cellIs" dxfId="15" priority="23" operator="equal">
      <formula>2</formula>
    </cfRule>
  </conditionalFormatting>
  <conditionalFormatting sqref="I8:S8 C4:C30 D4:S7 D8:G8 D9:S30 C31:S32 H8:H28 D7:D28 T2:T33 N5:N22">
    <cfRule type="containsText" dxfId="14" priority="94" stopIfTrue="1" operator="containsText" text="Trauma">
      <formula>NOT(ISERROR(SEARCH("Trauma",C2)))</formula>
    </cfRule>
  </conditionalFormatting>
  <conditionalFormatting sqref="A39:T39">
    <cfRule type="expression" dxfId="13" priority="19">
      <formula>$A39="Trauma"</formula>
    </cfRule>
  </conditionalFormatting>
  <conditionalFormatting sqref="A40:T40">
    <cfRule type="expression" dxfId="12" priority="17">
      <formula>$A$40="CHP Sr."</formula>
    </cfRule>
  </conditionalFormatting>
  <conditionalFormatting sqref="A41:T41">
    <cfRule type="expression" dxfId="11" priority="15">
      <formula>$A$41="CHP Jr."</formula>
    </cfRule>
  </conditionalFormatting>
  <conditionalFormatting sqref="A46:T46">
    <cfRule type="expression" dxfId="10" priority="11">
      <formula>$A$46="Sun"</formula>
    </cfRule>
  </conditionalFormatting>
  <conditionalFormatting sqref="A42:T42">
    <cfRule type="expression" dxfId="9" priority="10">
      <formula>$A$42="SHY"</formula>
    </cfRule>
  </conditionalFormatting>
  <conditionalFormatting sqref="A43:T43">
    <cfRule type="expression" dxfId="8" priority="9">
      <formula>$A$43="CT"</formula>
    </cfRule>
  </conditionalFormatting>
  <conditionalFormatting sqref="A44:T44">
    <cfRule type="expression" dxfId="7" priority="8">
      <formula>$A$44="Fri"</formula>
    </cfRule>
  </conditionalFormatting>
  <conditionalFormatting sqref="A45:T45">
    <cfRule type="expression" dxfId="6" priority="7">
      <formula>$A$45="Sat"</formula>
    </cfRule>
  </conditionalFormatting>
  <conditionalFormatting sqref="W2:AB31">
    <cfRule type="cellIs" dxfId="5" priority="6" operator="equal">
      <formula>"ERROR"</formula>
    </cfRule>
  </conditionalFormatting>
  <conditionalFormatting sqref="Y37:AJ37 A37:V37 W38 AL37:XFD3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I1:AI34">
    <cfRule type="notContainsBlanks" dxfId="2" priority="3">
      <formula>LEN(TRIM(AI1))&gt;0</formula>
    </cfRule>
  </conditionalFormatting>
  <conditionalFormatting sqref="AB1:AB34">
    <cfRule type="notContainsBlanks" dxfId="1" priority="2">
      <formula>LEN(TRIM(AB1))&gt;0</formula>
    </cfRule>
  </conditionalFormatting>
  <conditionalFormatting sqref="C2:T32">
    <cfRule type="cellIs" dxfId="0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2017-08-28T03:05:01Z</dcterms:modified>
</cp:coreProperties>
</file>