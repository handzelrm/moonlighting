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Pi9wBEmInWz1AmcVi78eY/MiJK7xL7fHDrFjzrj5OBGypeu/Pv9lzmj7vxKPE9gkMr+Cx3sLoYzL5nS+cY9Tiw==" workbookSaltValue="xj1oxp50OmZijll4pppaiA==" workbookSpinCount="100000" lockStructure="1"/>
  <bookViews>
    <workbookView xWindow="0" yWindow="0" windowWidth="15617" windowHeight="3634"/>
  </bookViews>
  <sheets>
    <sheet name="June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W1" i="5" l="1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C36" i="3" l="1"/>
  <c r="D36" i="3"/>
  <c r="E36" i="3"/>
  <c r="F36" i="3"/>
  <c r="AB12" i="3"/>
  <c r="AA3" i="3"/>
  <c r="AB3" i="3"/>
  <c r="AC3" i="3"/>
  <c r="AD3" i="3"/>
  <c r="AE3" i="3"/>
  <c r="AA4" i="3"/>
  <c r="AB4" i="3"/>
  <c r="AC4" i="3"/>
  <c r="AD4" i="3"/>
  <c r="AE4" i="3"/>
  <c r="AA5" i="3"/>
  <c r="AB5" i="3"/>
  <c r="AC5" i="3"/>
  <c r="AD5" i="3"/>
  <c r="AE5" i="3"/>
  <c r="AA6" i="3"/>
  <c r="AB6" i="3"/>
  <c r="AC6" i="3"/>
  <c r="AD6" i="3"/>
  <c r="AE6" i="3"/>
  <c r="AA7" i="3"/>
  <c r="AB7" i="3"/>
  <c r="AC7" i="3"/>
  <c r="AD7" i="3"/>
  <c r="AE7" i="3"/>
  <c r="AA8" i="3"/>
  <c r="AB8" i="3"/>
  <c r="AC8" i="3"/>
  <c r="AD8" i="3"/>
  <c r="AE8" i="3"/>
  <c r="AA9" i="3"/>
  <c r="AB9" i="3"/>
  <c r="AC9" i="3"/>
  <c r="AD9" i="3"/>
  <c r="AE9" i="3"/>
  <c r="AA10" i="3"/>
  <c r="AB10" i="3"/>
  <c r="AC10" i="3"/>
  <c r="AD10" i="3"/>
  <c r="AE10" i="3"/>
  <c r="AA11" i="3"/>
  <c r="AB11" i="3"/>
  <c r="AC11" i="3"/>
  <c r="AD11" i="3"/>
  <c r="AE11" i="3"/>
  <c r="AA12" i="3"/>
  <c r="AC12" i="3"/>
  <c r="AD12" i="3"/>
  <c r="AE12" i="3"/>
  <c r="AA13" i="3"/>
  <c r="AB13" i="3"/>
  <c r="AC13" i="3"/>
  <c r="AD13" i="3"/>
  <c r="AE13" i="3"/>
  <c r="AA14" i="3"/>
  <c r="AB14" i="3"/>
  <c r="AC14" i="3"/>
  <c r="AD14" i="3"/>
  <c r="AE14" i="3"/>
  <c r="AA15" i="3"/>
  <c r="AB15" i="3"/>
  <c r="AC15" i="3"/>
  <c r="AD15" i="3"/>
  <c r="AE15" i="3"/>
  <c r="AA16" i="3"/>
  <c r="AB16" i="3"/>
  <c r="AC16" i="3"/>
  <c r="AD16" i="3"/>
  <c r="AE16" i="3"/>
  <c r="AA17" i="3"/>
  <c r="AB17" i="3"/>
  <c r="AC17" i="3"/>
  <c r="AD17" i="3"/>
  <c r="AE17" i="3"/>
  <c r="AA18" i="3"/>
  <c r="AB18" i="3"/>
  <c r="AC18" i="3"/>
  <c r="AD18" i="3"/>
  <c r="AE18" i="3"/>
  <c r="AA19" i="3"/>
  <c r="AB19" i="3"/>
  <c r="AC19" i="3"/>
  <c r="AD19" i="3"/>
  <c r="AE19" i="3"/>
  <c r="AA20" i="3"/>
  <c r="AB20" i="3"/>
  <c r="AC20" i="3"/>
  <c r="AD20" i="3"/>
  <c r="AE20" i="3"/>
  <c r="AA21" i="3"/>
  <c r="AB21" i="3"/>
  <c r="AC21" i="3"/>
  <c r="AD21" i="3"/>
  <c r="AE21" i="3"/>
  <c r="AA22" i="3"/>
  <c r="AB22" i="3"/>
  <c r="AC22" i="3"/>
  <c r="AD22" i="3"/>
  <c r="AE22" i="3"/>
  <c r="AA23" i="3"/>
  <c r="AB23" i="3"/>
  <c r="AC23" i="3"/>
  <c r="AD23" i="3"/>
  <c r="AE23" i="3"/>
  <c r="AA24" i="3"/>
  <c r="AB24" i="3"/>
  <c r="AC24" i="3"/>
  <c r="AD24" i="3"/>
  <c r="AE24" i="3"/>
  <c r="AA25" i="3"/>
  <c r="AB25" i="3"/>
  <c r="AC25" i="3"/>
  <c r="AD25" i="3"/>
  <c r="AE25" i="3"/>
  <c r="AA26" i="3"/>
  <c r="AB26" i="3"/>
  <c r="AC26" i="3"/>
  <c r="AD26" i="3"/>
  <c r="AE26" i="3"/>
  <c r="AA27" i="3"/>
  <c r="AB27" i="3"/>
  <c r="AC27" i="3"/>
  <c r="AD27" i="3"/>
  <c r="AE27" i="3"/>
  <c r="AA28" i="3"/>
  <c r="AB28" i="3"/>
  <c r="AC28" i="3"/>
  <c r="AD28" i="3"/>
  <c r="AE28" i="3"/>
  <c r="AA29" i="3"/>
  <c r="AB29" i="3"/>
  <c r="AC29" i="3"/>
  <c r="AD29" i="3"/>
  <c r="AE29" i="3"/>
  <c r="AA30" i="3"/>
  <c r="AB30" i="3"/>
  <c r="AC30" i="3"/>
  <c r="AD30" i="3"/>
  <c r="AE30" i="3"/>
  <c r="AA31" i="3"/>
  <c r="AB31" i="3"/>
  <c r="AC31" i="3"/>
  <c r="AD31" i="3"/>
  <c r="AE31" i="3"/>
  <c r="AE2" i="3"/>
  <c r="AD2" i="3"/>
  <c r="AC2" i="3"/>
  <c r="AB2" i="3"/>
  <c r="AA2" i="3"/>
  <c r="X36" i="3"/>
  <c r="X39" i="3" l="1"/>
  <c r="X40" i="3"/>
  <c r="X41" i="3"/>
  <c r="X42" i="3"/>
  <c r="X43" i="3"/>
  <c r="X44" i="3"/>
  <c r="X45" i="3"/>
  <c r="X46" i="3"/>
  <c r="X35" i="3"/>
  <c r="X1" i="5"/>
  <c r="X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47" i="3" l="1"/>
  <c r="X35" i="5"/>
  <c r="X37" i="3"/>
  <c r="AA1" i="5" l="1"/>
  <c r="AB1" i="5"/>
  <c r="AC1" i="5"/>
  <c r="AD1" i="5"/>
  <c r="AA33" i="5"/>
  <c r="AB33" i="5"/>
  <c r="AC33" i="5"/>
  <c r="AD33" i="5"/>
  <c r="AA34" i="5"/>
  <c r="AB34" i="5"/>
  <c r="AC34" i="5"/>
  <c r="AD34" i="5"/>
  <c r="AA35" i="5"/>
  <c r="AB35" i="5"/>
  <c r="AC35" i="5"/>
  <c r="AD35" i="5"/>
  <c r="Z1" i="5"/>
  <c r="Z33" i="5"/>
  <c r="Z34" i="5"/>
  <c r="Z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D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K34" i="3"/>
  <c r="AJ34" i="3"/>
  <c r="AI34" i="3"/>
  <c r="AH34" i="3"/>
  <c r="AG34" i="3"/>
  <c r="Z35" i="3" l="1"/>
  <c r="Y35" i="3"/>
  <c r="Y38" i="3"/>
  <c r="Y36" i="3"/>
  <c r="B49" i="3"/>
  <c r="B48" i="3"/>
  <c r="E49" i="3" l="1"/>
  <c r="V49" i="3"/>
  <c r="X49" i="3"/>
  <c r="C48" i="3"/>
  <c r="X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AA2" i="5"/>
  <c r="AB2" i="5"/>
  <c r="AC2" i="5"/>
  <c r="AD2" i="5"/>
  <c r="AA3" i="5"/>
  <c r="AB3" i="5"/>
  <c r="AC3" i="5"/>
  <c r="AD3" i="5"/>
  <c r="AA4" i="5"/>
  <c r="AB4" i="5"/>
  <c r="AC4" i="5"/>
  <c r="AD4" i="5"/>
  <c r="AA5" i="5"/>
  <c r="AB5" i="5"/>
  <c r="AC5" i="5"/>
  <c r="AD5" i="5"/>
  <c r="AA6" i="5"/>
  <c r="AB6" i="5"/>
  <c r="AC6" i="5"/>
  <c r="AD6" i="5"/>
  <c r="AA7" i="5"/>
  <c r="AB7" i="5"/>
  <c r="AC7" i="5"/>
  <c r="AD7" i="5"/>
  <c r="AA8" i="5"/>
  <c r="AB8" i="5"/>
  <c r="AC8" i="5"/>
  <c r="AD8" i="5"/>
  <c r="AA9" i="5"/>
  <c r="AB9" i="5"/>
  <c r="AC9" i="5"/>
  <c r="AD9" i="5"/>
  <c r="AA10" i="5"/>
  <c r="AB10" i="5"/>
  <c r="AC10" i="5"/>
  <c r="AD10" i="5"/>
  <c r="AA11" i="5"/>
  <c r="AB11" i="5"/>
  <c r="AC11" i="5"/>
  <c r="AD11" i="5"/>
  <c r="AA12" i="5"/>
  <c r="AB12" i="5"/>
  <c r="AC12" i="5"/>
  <c r="AD12" i="5"/>
  <c r="AA13" i="5"/>
  <c r="AB13" i="5"/>
  <c r="AC13" i="5"/>
  <c r="AD13" i="5"/>
  <c r="AA14" i="5"/>
  <c r="AB14" i="5"/>
  <c r="AC14" i="5"/>
  <c r="AD14" i="5"/>
  <c r="AA15" i="5"/>
  <c r="AB15" i="5"/>
  <c r="AC15" i="5"/>
  <c r="AD15" i="5"/>
  <c r="AA16" i="5"/>
  <c r="AB16" i="5"/>
  <c r="AC16" i="5"/>
  <c r="AD16" i="5"/>
  <c r="AA17" i="5"/>
  <c r="AB17" i="5"/>
  <c r="AC17" i="5"/>
  <c r="AD17" i="5"/>
  <c r="AA18" i="5"/>
  <c r="AB18" i="5"/>
  <c r="AC18" i="5"/>
  <c r="AD18" i="5"/>
  <c r="AA19" i="5"/>
  <c r="AB19" i="5"/>
  <c r="AC19" i="5"/>
  <c r="AD19" i="5"/>
  <c r="AA20" i="5"/>
  <c r="AB20" i="5"/>
  <c r="AC20" i="5"/>
  <c r="AD20" i="5"/>
  <c r="AA21" i="5"/>
  <c r="AB21" i="5"/>
  <c r="AC21" i="5"/>
  <c r="AD21" i="5"/>
  <c r="AA22" i="5"/>
  <c r="AB22" i="5"/>
  <c r="AC22" i="5"/>
  <c r="AD22" i="5"/>
  <c r="AA23" i="5"/>
  <c r="AB23" i="5"/>
  <c r="AC23" i="5"/>
  <c r="AD23" i="5"/>
  <c r="AA24" i="5"/>
  <c r="AB24" i="5"/>
  <c r="AC24" i="5"/>
  <c r="AD24" i="5"/>
  <c r="AA25" i="5"/>
  <c r="AB25" i="5"/>
  <c r="AC25" i="5"/>
  <c r="AD25" i="5"/>
  <c r="AA26" i="5"/>
  <c r="AB26" i="5"/>
  <c r="AC26" i="5"/>
  <c r="AD26" i="5"/>
  <c r="AA27" i="5"/>
  <c r="AB27" i="5"/>
  <c r="AC27" i="5"/>
  <c r="AD27" i="5"/>
  <c r="AA28" i="5"/>
  <c r="AB28" i="5"/>
  <c r="AC28" i="5"/>
  <c r="AD28" i="5"/>
  <c r="AA29" i="5"/>
  <c r="AB29" i="5"/>
  <c r="AC29" i="5"/>
  <c r="AD29" i="5"/>
  <c r="AA30" i="5"/>
  <c r="AB30" i="5"/>
  <c r="AC30" i="5"/>
  <c r="AD30" i="5"/>
  <c r="AA31" i="5"/>
  <c r="AB31" i="5"/>
  <c r="AC31" i="5"/>
  <c r="AB32" i="3"/>
  <c r="AA32" i="5" s="1"/>
  <c r="AC32" i="3"/>
  <c r="AB32" i="5" s="1"/>
  <c r="AD32" i="3"/>
  <c r="AC32" i="5" s="1"/>
  <c r="AE32" i="3"/>
  <c r="AD32" i="5" s="1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AA32" i="3"/>
  <c r="Z32" i="5" s="1"/>
  <c r="Z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<sst xmlns="http://schemas.openxmlformats.org/spreadsheetml/2006/main" count="670" uniqueCount="64">
  <si>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</si>
  <si>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</si>
  <si>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</si>
  <si>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</si>
  <si>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</si>
  <si>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</si>
  <si>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</si>
  <si>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</si>
  <si>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</si>
  <si>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</si>
  <si>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</si>
  <si>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</si>
  <si>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</si>
  <si>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</si>
  <si>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</si>
  <si>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</si>
  <si>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</si>
  <si>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</si>
  <si>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</si>
  <si>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</si>
  <si>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</si>
  <si>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</si>
  <si>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</si>
  <si>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</si>
  <si>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</si>
  <si>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</si>
  <si>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</si>
  <si>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</si>
  <si>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</si>
  <si>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</si>
  <si>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</si>
  <si>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</si>
  <si>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</si>
  <si>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</si>
  <si>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</si>
  <si>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</si>
  <si>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</si>
  <si>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</si>
  <si>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</si>
  <si>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</si>
  <si>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</si>
  <si>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</si>
  <si>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</si>
  <si>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</si>
  <si>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</si>
  <si>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</si>
  <si>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</si>
  <si>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</si>
  <si>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</si>
  <si>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</si>
  <si>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</si>
  <si>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</si>
  <si>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</si>
  <si>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</si>
  <si>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</si>
  <si>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</si>
  <si>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</si>
  <si>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</si>
  <si>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</si>
  <si>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</si>
  <si>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</si>
  <si>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</si>
  <si>
    <t>Downs-Canner</t>
  </si>
  <si>
    <t>??CT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</si>
</sst>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B6" sqref="AB6"/>
    </sheetView>
  </sheetViews>
  <sheetFormatPr defaultColWidth="9.3046875" defaultRowHeight="14.6" x14ac:dyDescent="0.4"/>
  <cols>
    <col min="1" max="1" width="11" style="14" customWidth="1"/>
    <col min="2" max="2" width="5.53515625" style="14" bestFit="1" customWidth="1"/>
    <col min="3" max="3" width="12.53515625" style="14" bestFit="1" customWidth="1"/>
    <col min="4" max="4" width="7.3828125" style="14" bestFit="1" customWidth="1"/>
    <col min="5" max="5" width="6.3828125" style="14" bestFit="1" customWidth="1"/>
    <col min="6" max="6" width="7.15234375" style="14" bestFit="1" customWidth="1"/>
    <col min="7" max="7" width="8" style="14" bestFit="1" customWidth="1"/>
    <col min="8" max="8" width="9.69140625" style="14" bestFit="1" customWidth="1"/>
    <col min="9" max="9" width="9.53515625" style="14" bestFit="1" customWidth="1"/>
    <col min="10" max="10" width="8" style="14" bestFit="1" customWidth="1"/>
    <col min="11" max="11" width="14.53515625" style="14" bestFit="1" customWidth="1"/>
    <col min="12" max="12" width="8" style="14" bestFit="1" customWidth="1"/>
    <col min="13" max="13" width="12.15234375" style="14" bestFit="1" customWidth="1"/>
    <col min="14" max="14" width="8.69140625" style="14" bestFit="1" customWidth="1"/>
    <col min="15" max="15" width="9.69140625" style="14" bestFit="1" customWidth="1"/>
    <col min="16" max="18" width="8" style="14" bestFit="1" customWidth="1"/>
    <col min="19" max="19" width="9.69140625" style="14" bestFit="1" customWidth="1"/>
    <col min="20" max="20" width="8.53515625" style="14" bestFit="1" customWidth="1"/>
    <col min="21" max="21" width="5.69140625" style="14" bestFit="1" customWidth="1"/>
    <col min="22" max="22" width="12.84375" style="14" bestFit="1" customWidth="1"/>
    <col min="23" max="23" width="14.53515625" style="14" bestFit="1" customWidth="1"/>
    <col min="24" max="24" width="8.53515625" style="14" bestFit="1" customWidth="1"/>
    <col min="25" max="25" width="8.53515625" style="14" customWidth="1"/>
    <col min="26" max="27" width="14.53515625" style="14" bestFit="1" customWidth="1"/>
    <col min="28" max="28" width="7.3046875" style="14" bestFit="1" customWidth="1"/>
    <col min="29" max="29" width="12.15234375" style="14" bestFit="1" customWidth="1"/>
    <col min="30" max="30" width="16.84375" style="14" bestFit="1" customWidth="1"/>
    <col min="31" max="16384" width="9.3046875" style="14"/>
  </cols>
  <sheetData>
    <row r="1" spans="1:30" x14ac:dyDescent="0.4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Downs-Canner</v>
      </c>
      <c r="X1" s="14" t="str">
        <f>IF(ISBLANK(Master!X1),"",Master!X1)</f>
        <v>Shaffiey</v>
      </c>
      <c r="Z1" s="14" t="str">
        <f>IF(ISBLANK(Master!AA1),"",Master!AA1)</f>
        <v>Trauma</v>
      </c>
      <c r="AA1" s="14" t="str">
        <f>IF(ISBLANK(Master!AB1),"",Master!AB1)</f>
        <v>SHY</v>
      </c>
      <c r="AB1" s="14" t="str">
        <f>IF(ISBLANK(Master!AC1),"",Master!AC1)</f>
        <v>CHP Sr.</v>
      </c>
      <c r="AC1" s="14" t="str">
        <f>IF(ISBLANK(Master!AD1),"",Master!AD1)</f>
        <v>CHP Jr.</v>
      </c>
      <c r="AD1" s="14" t="str">
        <f>IF(ISBLANK(Master!AE1),"",Master!AE1)</f>
        <v>CT</v>
      </c>
    </row>
    <row r="2" spans="1:30" x14ac:dyDescent="0.4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/>
      </c>
      <c r="X2" s="14" t="str">
        <f>IF(ISBLANK(Master!X2),"",Master!X2)</f>
        <v>x</v>
      </c>
      <c r="Z2" s="14" t="str">
        <f>IF(ISBLANK(Master!AA2),"",Master!AA2)</f>
        <v/>
      </c>
      <c r="AA2" s="14" t="str">
        <f>IF(ISBLANK(Master!AB2),"",Master!AB2)</f>
        <v>Van Der Windt</v>
      </c>
      <c r="AB2" s="14" t="str">
        <f>IF(ISBLANK(Master!AC2),"",Master!AC2)</f>
        <v>Siow</v>
      </c>
      <c r="AC2" s="14" t="str">
        <f>IF(ISBLANK(Master!AD2),"",Master!AD2)</f>
        <v/>
      </c>
      <c r="AD2" s="14" t="str">
        <f>IF(ISBLANK(Master!AE2),"",Master!AE2)</f>
        <v>NEEDS COVERAGE</v>
      </c>
    </row>
    <row r="3" spans="1:30" x14ac:dyDescent="0.4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/>
      </c>
      <c r="X3" s="14" t="str">
        <f>IF(ISBLANK(Master!X3),"",Master!X3)</f>
        <v>x</v>
      </c>
      <c r="Z3" s="14" t="str">
        <f>IF(ISBLANK(Master!AA3),"",Master!AA3)</f>
        <v>Torres</v>
      </c>
      <c r="AA3" s="14" t="str">
        <f>IF(ISBLANK(Master!AB3),"",Master!AB3)</f>
        <v/>
      </c>
      <c r="AB3" s="14" t="str">
        <f>IF(ISBLANK(Master!AC3),"",Master!AC3)</f>
        <v/>
      </c>
      <c r="AC3" s="14" t="str">
        <f>IF(ISBLANK(Master!AD3),"",Master!AD3)</f>
        <v>Okolo</v>
      </c>
      <c r="AD3" s="14" t="str">
        <f>IF(ISBLANK(Master!AE3),"",Master!AE3)</f>
        <v>NEEDS COVERAGE</v>
      </c>
    </row>
    <row r="4" spans="1:30" x14ac:dyDescent="0.4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/>
      </c>
      <c r="X4" s="14" t="str">
        <f>IF(ISBLANK(Master!X4),"",Master!X4)</f>
        <v>x</v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/>
      </c>
      <c r="AD4" s="14" t="str">
        <f>IF(ISBLANK(Master!AE4),"",Master!AE4)</f>
        <v>NEEDS COVERAGE</v>
      </c>
    </row>
    <row r="5" spans="1:30" x14ac:dyDescent="0.4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/>
      </c>
      <c r="X5" s="14" t="str">
        <f>IF(ISBLANK(Master!X5),"",Master!X5)</f>
        <v>x</v>
      </c>
      <c r="Z5" s="14" t="str">
        <f>IF(ISBLANK(Master!AA5),"",Master!AA5)</f>
        <v/>
      </c>
      <c r="AA5" s="14" t="str">
        <f>IF(ISBLANK(Master!AB5),"",Master!AB5)</f>
        <v>Griepentrog</v>
      </c>
      <c r="AB5" s="14" t="str">
        <f>IF(ISBLANK(Master!AC5),"",Master!AC5)</f>
        <v/>
      </c>
      <c r="AC5" s="14" t="str">
        <f>IF(ISBLANK(Master!AD5),"",Master!AD5)</f>
        <v>Siow</v>
      </c>
      <c r="AD5" s="14" t="str">
        <f>IF(ISBLANK(Master!AE5),"",Master!AE5)</f>
        <v>NEEDS COVERAGE</v>
      </c>
    </row>
    <row r="6" spans="1:30" x14ac:dyDescent="0.4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/>
      </c>
      <c r="X6" s="14" t="str">
        <f>IF(ISBLANK(Master!X6),"",Master!X6)</f>
        <v>x</v>
      </c>
      <c r="Z6" s="14" t="str">
        <f>IF(ISBLANK(Master!AA6),"",Master!AA6)</f>
        <v>Torres</v>
      </c>
      <c r="AA6" s="14" t="str">
        <f>IF(ISBLANK(Master!AB6),"",Master!AB6)</f>
        <v>Hill (Kirk)</v>
      </c>
      <c r="AB6" s="14" t="str">
        <f>IF(ISBLANK(Master!AC6),"",Master!AC6)</f>
        <v>Yeh</v>
      </c>
      <c r="AC6" s="14" t="str">
        <f>IF(ISBLANK(Master!AD6),"",Master!AD6)</f>
        <v/>
      </c>
      <c r="AD6" s="14" t="str">
        <f>IF(ISBLANK(Master!AE6),"",Master!AE6)</f>
        <v>NEEDS COVERAGE</v>
      </c>
    </row>
    <row r="7" spans="1:30" x14ac:dyDescent="0.4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/>
      </c>
      <c r="X7" s="14" t="str">
        <f>IF(ISBLANK(Master!X7),"",Master!X7)</f>
        <v>x</v>
      </c>
      <c r="Z7" s="14" t="str">
        <f>IF(ISBLANK(Master!AA7),"",Master!AA7)</f>
        <v>Tam</v>
      </c>
      <c r="AA7" s="14" t="str">
        <f>IF(ISBLANK(Master!AB7),"",Master!AB7)</f>
        <v>Okolo</v>
      </c>
      <c r="AB7" s="14" t="str">
        <f>IF(ISBLANK(Master!AC7),"",Master!AC7)</f>
        <v/>
      </c>
      <c r="AC7" s="14" t="str">
        <f>IF(ISBLANK(Master!AD7),"",Master!AD7)</f>
        <v/>
      </c>
      <c r="AD7" s="14" t="str">
        <f>IF(ISBLANK(Master!AE7),"",Master!AE7)</f>
        <v>Theisen</v>
      </c>
    </row>
    <row r="8" spans="1:30" x14ac:dyDescent="0.4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/>
      </c>
      <c r="X8" s="14" t="str">
        <f>IF(ISBLANK(Master!X8),"",Master!X8)</f>
        <v>x</v>
      </c>
      <c r="Z8" s="14" t="str">
        <f>IF(ISBLANK(Master!AA8),"",Master!AA8)</f>
        <v>Yeh</v>
      </c>
      <c r="AA8" s="14" t="str">
        <f>IF(ISBLANK(Master!AB8),"",Master!AB8)</f>
        <v>Siow</v>
      </c>
      <c r="AB8" s="14" t="str">
        <f>IF(ISBLANK(Master!AC8),"",Master!AC8)</f>
        <v/>
      </c>
      <c r="AC8" s="14" t="str">
        <f>IF(ISBLANK(Master!AD8),"",Master!AD8)</f>
        <v>Dyer</v>
      </c>
      <c r="AD8" s="14" t="str">
        <f>IF(ISBLANK(Master!AE8),"",Master!AE8)</f>
        <v>NEEDS COVERAGE</v>
      </c>
    </row>
    <row r="9" spans="1:30" x14ac:dyDescent="0.4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/>
      </c>
      <c r="X9" s="14" t="str">
        <f>IF(ISBLANK(Master!X9),"",Master!X9)</f>
        <v>x</v>
      </c>
      <c r="Z9" s="14" t="str">
        <f>IF(ISBLANK(Master!AA9),"",Master!AA9)</f>
        <v/>
      </c>
      <c r="AA9" s="14" t="str">
        <f>IF(ISBLANK(Master!AB9),"",Master!AB9)</f>
        <v>Tam</v>
      </c>
      <c r="AB9" s="14" t="str">
        <f>IF(ISBLANK(Master!AC9),"",Master!AC9)</f>
        <v/>
      </c>
      <c r="AC9" s="14" t="str">
        <f>IF(ISBLANK(Master!AD9),"",Master!AD9)</f>
        <v/>
      </c>
      <c r="AD9" s="14" t="str">
        <f>IF(ISBLANK(Master!AE9),"",Master!AE9)</f>
        <v>Theisen</v>
      </c>
    </row>
    <row r="10" spans="1:30" x14ac:dyDescent="0.4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/>
      </c>
      <c r="X10" s="14" t="str">
        <f>IF(ISBLANK(Master!X10),"",Master!X10)</f>
        <v>x</v>
      </c>
      <c r="Z10" s="14" t="str">
        <f>IF(ISBLANK(Master!AA10),"",Master!AA10)</f>
        <v>Hill (Kirk)</v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/>
      </c>
      <c r="AD10" s="14" t="str">
        <f>IF(ISBLANK(Master!AE10),"",Master!AE10)</f>
        <v>Chen</v>
      </c>
    </row>
    <row r="11" spans="1:30" x14ac:dyDescent="0.4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/>
      </c>
      <c r="X11" s="14" t="str">
        <f>IF(ISBLANK(Master!X11),"",Master!X11)</f>
        <v>x</v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/>
      </c>
      <c r="AC11" s="14" t="str">
        <f>IF(ISBLANK(Master!AD11),"",Master!AD11)</f>
        <v>Okolo</v>
      </c>
      <c r="AD11" s="14" t="str">
        <f>IF(ISBLANK(Master!AE11),"",Master!AE11)</f>
        <v>NEEDS COVERAGE</v>
      </c>
    </row>
    <row r="12" spans="1:30" x14ac:dyDescent="0.4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/>
      </c>
      <c r="X12" s="14" t="str">
        <f>IF(ISBLANK(Master!X12),"",Master!X12)</f>
        <v>x</v>
      </c>
      <c r="Z12" s="14" t="str">
        <f>IF(ISBLANK(Master!AA12),"",Master!AA12)</f>
        <v/>
      </c>
      <c r="AA12" s="14" t="str">
        <f>IF(ISBLANK(Master!AB12),"",Master!AB12)</f>
        <v>Okolo</v>
      </c>
      <c r="AB12" s="14" t="str">
        <f>IF(ISBLANK(Master!AC12),"",Master!AC12)</f>
        <v/>
      </c>
      <c r="AC12" s="14" t="str">
        <f>IF(ISBLANK(Master!AD12),"",Master!AD12)</f>
        <v/>
      </c>
      <c r="AD12" s="14" t="str">
        <f>IF(ISBLANK(Master!AE12),"",Master!AE12)</f>
        <v>NEEDS COVERAGE</v>
      </c>
    </row>
    <row r="13" spans="1:30" x14ac:dyDescent="0.4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/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/>
      </c>
      <c r="X13" s="14" t="str">
        <f>IF(ISBLANK(Master!X13),"",Master!X13)</f>
        <v>x</v>
      </c>
      <c r="Z13" s="14" t="str">
        <f>IF(ISBLANK(Master!AA13),"",Master!AA13)</f>
        <v>Torres</v>
      </c>
      <c r="AA13" s="14" t="str">
        <f>IF(ISBLANK(Master!AB13),"",Master!AB13)</f>
        <v>Tam</v>
      </c>
      <c r="AB13" s="14" t="str">
        <f>IF(ISBLANK(Master!AC13),"",Master!AC13)</f>
        <v/>
      </c>
      <c r="AC13" s="14" t="str">
        <f>IF(ISBLANK(Master!AD13),"",Master!AD13)</f>
        <v/>
      </c>
      <c r="AD13" s="14" t="str">
        <f>IF(ISBLANK(Master!AE13),"",Master!AE13)</f>
        <v>NEEDS COVERAGE</v>
      </c>
    </row>
    <row r="14" spans="1:30" x14ac:dyDescent="0.4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/>
      </c>
      <c r="X14" s="14" t="str">
        <f>IF(ISBLANK(Master!X14),"",Master!X14)</f>
        <v>x</v>
      </c>
      <c r="Z14" s="14" t="str">
        <f>IF(ISBLANK(Master!AA14),"",Master!AA14)</f>
        <v>Dyer</v>
      </c>
      <c r="AA14" s="14" t="str">
        <f>IF(ISBLANK(Master!AB14),"",Master!AB14)</f>
        <v>Griepentrog</v>
      </c>
      <c r="AB14" s="14" t="str">
        <f>IF(ISBLANK(Master!AC14),"",Master!AC14)</f>
        <v/>
      </c>
      <c r="AC14" s="14" t="str">
        <f>IF(ISBLANK(Master!AD14),"",Master!AD14)</f>
        <v>Yeh</v>
      </c>
      <c r="AD14" s="14" t="str">
        <f>IF(ISBLANK(Master!AE14),"",Master!AE14)</f>
        <v>Schusterman</v>
      </c>
    </row>
    <row r="15" spans="1:30" x14ac:dyDescent="0.4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/>
      </c>
      <c r="X15" s="14" t="str">
        <f>IF(ISBLANK(Master!X15),"",Master!X15)</f>
        <v>x</v>
      </c>
      <c r="Z15" s="14" t="str">
        <f>IF(ISBLANK(Master!AA15),"",Master!AA15)</f>
        <v>Okolo</v>
      </c>
      <c r="AA15" s="14" t="str">
        <f>IF(ISBLANK(Master!AB15),"",Master!AB15)</f>
        <v>Torres</v>
      </c>
      <c r="AB15" s="14" t="str">
        <f>IF(ISBLANK(Master!AC15),"",Master!AC15)</f>
        <v/>
      </c>
      <c r="AC15" s="14" t="str">
        <f>IF(ISBLANK(Master!AD15),"",Master!AD15)</f>
        <v/>
      </c>
      <c r="AD15" s="14" t="str">
        <f>IF(ISBLANK(Master!AE15),"",Master!AE15)</f>
        <v>NEEDS COVERAGE</v>
      </c>
    </row>
    <row r="16" spans="1:30" x14ac:dyDescent="0.4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/>
      </c>
      <c r="X16" s="14" t="str">
        <f>IF(ISBLANK(Master!X16),"",Master!X16)</f>
        <v>x</v>
      </c>
      <c r="Z16" s="14" t="str">
        <f>IF(ISBLANK(Master!AA16),"",Master!AA16)</f>
        <v/>
      </c>
      <c r="AA16" s="14" t="str">
        <f>IF(ISBLANK(Master!AB16),"",Master!AB16)</f>
        <v>Handzel</v>
      </c>
      <c r="AB16" s="14" t="str">
        <f>IF(ISBLANK(Master!AC16),"",Master!AC16)</f>
        <v/>
      </c>
      <c r="AC16" s="14" t="str">
        <f>IF(ISBLANK(Master!AD16),"",Master!AD16)</f>
        <v/>
      </c>
      <c r="AD16" s="14" t="str">
        <f>IF(ISBLANK(Master!AE16),"",Master!AE16)</f>
        <v>Hill (Kirk)</v>
      </c>
    </row>
    <row r="17" spans="1:30" x14ac:dyDescent="0.4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/>
      </c>
      <c r="X17" s="14" t="str">
        <f>IF(ISBLANK(Master!X17),"",Master!X17)</f>
        <v>x</v>
      </c>
      <c r="Z17" s="14" t="str">
        <f>IF(ISBLANK(Master!AA17),"",Master!AA17)</f>
        <v>Siow</v>
      </c>
      <c r="AA17" s="14" t="str">
        <f>IF(ISBLANK(Master!AB17),"",Master!AB17)</f>
        <v/>
      </c>
      <c r="AB17" s="14" t="str">
        <f>IF(ISBLANK(Master!AC17),"",Master!AC17)</f>
        <v/>
      </c>
      <c r="AC17" s="14" t="str">
        <f>IF(ISBLANK(Master!AD17),"",Master!AD17)</f>
        <v>Griepentrog</v>
      </c>
      <c r="AD17" s="14" t="str">
        <f>IF(ISBLANK(Master!AE17),"",Master!AE17)</f>
        <v>NEEDS COVERAGE</v>
      </c>
    </row>
    <row r="18" spans="1:30" x14ac:dyDescent="0.4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/>
      </c>
      <c r="X18" s="14" t="str">
        <f>IF(ISBLANK(Master!X18),"",Master!X18)</f>
        <v>x</v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/>
      </c>
      <c r="AD18" s="14" t="str">
        <f>IF(ISBLANK(Master!AE18),"",Master!AE18)</f>
        <v>NEEDS COVERAGE</v>
      </c>
    </row>
    <row r="19" spans="1:30" x14ac:dyDescent="0.4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/>
      </c>
      <c r="X19" s="14" t="str">
        <f>IF(ISBLANK(Master!X19),"",Master!X19)</f>
        <v>x</v>
      </c>
      <c r="Z19" s="14" t="str">
        <f>IF(ISBLANK(Master!AA19),"",Master!AA19)</f>
        <v/>
      </c>
      <c r="AA19" s="14" t="str">
        <f>IF(ISBLANK(Master!AB19),"",Master!AB19)</f>
        <v>Handzel</v>
      </c>
      <c r="AB19" s="14" t="str">
        <f>IF(ISBLANK(Master!AC19),"",Master!AC19)</f>
        <v/>
      </c>
      <c r="AC19" s="14" t="str">
        <f>IF(ISBLANK(Master!AD19),"",Master!AD19)</f>
        <v/>
      </c>
      <c r="AD19" s="14" t="str">
        <f>IF(ISBLANK(Master!AE19),"",Master!AE19)</f>
        <v>NEEDS COVERAGE</v>
      </c>
    </row>
    <row r="20" spans="1:30" x14ac:dyDescent="0.4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/>
      </c>
      <c r="X20" s="14" t="str">
        <f>IF(ISBLANK(Master!X20),"",Master!X20)</f>
        <v>x</v>
      </c>
      <c r="Z20" s="14" t="str">
        <f>IF(ISBLANK(Master!AA20),"",Master!AA20)</f>
        <v>Tam</v>
      </c>
      <c r="AA20" s="14" t="str">
        <f>IF(ISBLANK(Master!AB20),"",Master!AB20)</f>
        <v>Dyer</v>
      </c>
      <c r="AB20" s="14" t="str">
        <f>IF(ISBLANK(Master!AC20),"",Master!AC20)</f>
        <v/>
      </c>
      <c r="AC20" s="14" t="str">
        <f>IF(ISBLANK(Master!AD20),"",Master!AD20)</f>
        <v>Siow</v>
      </c>
      <c r="AD20" s="14" t="str">
        <f>IF(ISBLANK(Master!AE20),"",Master!AE20)</f>
        <v>NEEDS COVERAGE</v>
      </c>
    </row>
    <row r="21" spans="1:30" x14ac:dyDescent="0.4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/>
      </c>
      <c r="X21" s="14" t="str">
        <f>IF(ISBLANK(Master!X21),"",Master!X21)</f>
        <v>CT</v>
      </c>
      <c r="Z21" s="14" t="str">
        <f>IF(ISBLANK(Master!AA21),"",Master!AA21)</f>
        <v>Van Der Windt</v>
      </c>
      <c r="AA21" s="14" t="str">
        <f>IF(ISBLANK(Master!AB21),"",Master!AB21)</f>
        <v>Handzel</v>
      </c>
      <c r="AB21" s="14" t="str">
        <f>IF(ISBLANK(Master!AC21),"",Master!AC21)</f>
        <v/>
      </c>
      <c r="AC21" s="14" t="str">
        <f>IF(ISBLANK(Master!AD21),"",Master!AD21)</f>
        <v/>
      </c>
      <c r="AD21" s="14" t="str">
        <f>IF(ISBLANK(Master!AE21),"",Master!AE21)</f>
        <v>Shaffiey</v>
      </c>
    </row>
    <row r="22" spans="1:30" x14ac:dyDescent="0.4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/>
      </c>
      <c r="X22" s="14" t="str">
        <f>IF(ISBLANK(Master!X22),"",Master!X22)</f>
        <v>Trauma</v>
      </c>
      <c r="Z22" s="14" t="str">
        <f>IF(ISBLANK(Master!AA22),"",Master!AA22)</f>
        <v>Shaffiey</v>
      </c>
      <c r="AA22" s="14" t="str">
        <f>IF(ISBLANK(Master!AB22),"",Master!AB22)</f>
        <v>Dyer</v>
      </c>
      <c r="AB22" s="14" t="str">
        <f>IF(ISBLANK(Master!AC22),"",Master!AC22)</f>
        <v/>
      </c>
      <c r="AC22" s="14" t="str">
        <f>IF(ISBLANK(Master!AD22),"",Master!AD22)</f>
        <v/>
      </c>
      <c r="AD22" s="14" t="str">
        <f>IF(ISBLANK(Master!AE22),"",Master!AE22)</f>
        <v>Schusterman</v>
      </c>
    </row>
    <row r="23" spans="1:30" x14ac:dyDescent="0.4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>??CT</v>
      </c>
      <c r="X23" s="14" t="str">
        <f>IF(ISBLANK(Master!X23),"",Master!X23)</f>
        <v/>
      </c>
      <c r="Z23" s="14" t="str">
        <f>IF(ISBLANK(Master!AA23),"",Master!AA23)</f>
        <v/>
      </c>
      <c r="AA23" s="14" t="str">
        <f>IF(ISBLANK(Master!AB23),"",Master!AB23)</f>
        <v>Hill (Kirk)</v>
      </c>
      <c r="AB23" s="14" t="str">
        <f>IF(ISBLANK(Master!AC23),"",Master!AC23)</f>
        <v/>
      </c>
      <c r="AC23" s="14" t="str">
        <f>IF(ISBLANK(Master!AD23),"",Master!AD23)</f>
        <v>Handzel</v>
      </c>
      <c r="AD23" s="14" t="str">
        <f>IF(ISBLANK(Master!AE23),"",Master!AE23)</f>
        <v>NEEDS COVERAGE</v>
      </c>
    </row>
    <row r="24" spans="1:30" x14ac:dyDescent="0.4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??CT</v>
      </c>
      <c r="X24" s="14" t="str">
        <f>IF(ISBLANK(Master!X24),"",Master!X24)</f>
        <v>x</v>
      </c>
      <c r="Z24" s="14" t="str">
        <f>IF(ISBLANK(Master!AA24),"",Master!AA24)</f>
        <v>Van Der Windt</v>
      </c>
      <c r="AA24" s="14" t="str">
        <f>IF(ISBLANK(Master!AB24),"",Master!AB24)</f>
        <v/>
      </c>
      <c r="AB24" s="14" t="str">
        <f>IF(ISBLANK(Master!AC24),"",Master!AC24)</f>
        <v>Okolo</v>
      </c>
      <c r="AC24" s="14" t="str">
        <f>IF(ISBLANK(Master!AD24),"",Master!AD24)</f>
        <v/>
      </c>
      <c r="AD24" s="14" t="str">
        <f>IF(ISBLANK(Master!AE24),"",Master!AE24)</f>
        <v>NEEDS COVERAGE</v>
      </c>
    </row>
    <row r="25" spans="1:30" x14ac:dyDescent="0.4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/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/>
      </c>
      <c r="X25" s="14" t="str">
        <f>IF(ISBLANK(Master!X25),"",Master!X25)</f>
        <v>x</v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/>
      </c>
      <c r="AC25" s="14" t="str">
        <f>IF(ISBLANK(Master!AD25),"",Master!AD25)</f>
        <v/>
      </c>
      <c r="AD25" s="14" t="str">
        <f>IF(ISBLANK(Master!AE25),"",Master!AE25)</f>
        <v>NEEDS COVERAGE</v>
      </c>
    </row>
    <row r="26" spans="1:30" x14ac:dyDescent="0.4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/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/>
      </c>
      <c r="X26" s="14" t="str">
        <f>IF(ISBLANK(Master!X26),"",Master!X26)</f>
        <v>x</v>
      </c>
      <c r="Z26" s="14" t="str">
        <f>IF(ISBLANK(Master!AA26),"",Master!AA26)</f>
        <v/>
      </c>
      <c r="AA26" s="14" t="str">
        <f>IF(ISBLANK(Master!AB26),"",Master!AB26)</f>
        <v>Siow</v>
      </c>
      <c r="AB26" s="14" t="str">
        <f>IF(ISBLANK(Master!AC26),"",Master!AC26)</f>
        <v/>
      </c>
      <c r="AC26" s="14" t="str">
        <f>IF(ISBLANK(Master!AD26),"",Master!AD26)</f>
        <v/>
      </c>
      <c r="AD26" s="14" t="str">
        <f>IF(ISBLANK(Master!AE26),"",Master!AE26)</f>
        <v>NEEDS COVERAGE</v>
      </c>
    </row>
    <row r="27" spans="1:30" x14ac:dyDescent="0.4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>x</v>
      </c>
      <c r="O27" s="14" t="str">
        <f>IF(ISBLANK(Master!O27),"",Master!O27)</f>
        <v>Trauma</v>
      </c>
      <c r="P27" s="14" t="str">
        <f>IF(ISBLANK(Master!P27),"",Master!P27)</f>
        <v/>
      </c>
      <c r="Q27" s="14" t="str">
        <f>IF(ISBLANK(Master!Q27),"",Master!Q27)</f>
        <v/>
      </c>
      <c r="R27" s="14" t="str">
        <f>IF(ISBLANK(Master!R27),"",Master!R27)</f>
        <v>CHP Jr.</v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/>
      </c>
      <c r="X27" s="14" t="str">
        <f>IF(ISBLANK(Master!X27),"",Master!X27)</f>
        <v>CT</v>
      </c>
      <c r="Z27" s="14" t="str">
        <f>IF(ISBLANK(Master!AA27),"",Master!AA27)</f>
        <v>Hill (Kirk)</v>
      </c>
      <c r="AA27" s="14" t="str">
        <f>IF(ISBLANK(Master!AB27),"",Master!AB27)</f>
        <v>Van Der Windt</v>
      </c>
      <c r="AB27" s="14" t="str">
        <f>IF(ISBLANK(Master!AC27),"",Master!AC27)</f>
        <v/>
      </c>
      <c r="AC27" s="14" t="str">
        <f>IF(ISBLANK(Master!AD27),"",Master!AD27)</f>
        <v>Tam</v>
      </c>
      <c r="AD27" s="14" t="str">
        <f>IF(ISBLANK(Master!AE27),"",Master!AE27)</f>
        <v>Shaffiey</v>
      </c>
    </row>
    <row r="28" spans="1:30" x14ac:dyDescent="0.4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>CHP Jr.</v>
      </c>
      <c r="Q28" s="14" t="str">
        <f>IF(ISBLANK(Master!Q28),"",Master!Q28)</f>
        <v/>
      </c>
      <c r="R28" s="14" t="str">
        <f>IF(ISBLANK(Master!R28),"",Master!R28)</f>
        <v/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/>
      </c>
      <c r="X28" s="14" t="str">
        <f>IF(ISBLANK(Master!X28),"",Master!X28)</f>
        <v>CT</v>
      </c>
      <c r="Z28" s="14" t="str">
        <f>IF(ISBLANK(Master!AA28),"",Master!AA28)</f>
        <v>Griepentrog</v>
      </c>
      <c r="AA28" s="14" t="str">
        <f>IF(ISBLANK(Master!AB28),"",Master!AB28)</f>
        <v>Handzel</v>
      </c>
      <c r="AB28" s="14" t="str">
        <f>IF(ISBLANK(Master!AC28),"",Master!AC28)</f>
        <v/>
      </c>
      <c r="AC28" s="14" t="str">
        <f>IF(ISBLANK(Master!AD28),"",Master!AD28)</f>
        <v>Okolo</v>
      </c>
      <c r="AD28" s="14" t="str">
        <f>IF(ISBLANK(Master!AE28),"",Master!AE28)</f>
        <v>Shaffiey</v>
      </c>
    </row>
    <row r="29" spans="1:30" x14ac:dyDescent="0.4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>x</v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/>
      </c>
      <c r="X29" s="14" t="str">
        <f>IF(ISBLANK(Master!X29),"",Master!X29)</f>
        <v>CT</v>
      </c>
      <c r="Z29" s="14" t="str">
        <f>IF(ISBLANK(Master!AA29),"",Master!AA29)</f>
        <v>Dyer</v>
      </c>
      <c r="AA29" s="14" t="str">
        <f>IF(ISBLANK(Master!AB29),"",Master!AB29)</f>
        <v>Yeh</v>
      </c>
      <c r="AB29" s="14" t="str">
        <f>IF(ISBLANK(Master!AC29),"",Master!AC29)</f>
        <v/>
      </c>
      <c r="AC29" s="14" t="str">
        <f>IF(ISBLANK(Master!AD29),"",Master!AD29)</f>
        <v>Tam</v>
      </c>
      <c r="AD29" s="14" t="str">
        <f>IF(ISBLANK(Master!AE29),"",Master!AE29)</f>
        <v>Shaffiey</v>
      </c>
    </row>
    <row r="30" spans="1:30" x14ac:dyDescent="0.4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/>
      </c>
      <c r="X30" s="14" t="str">
        <f>IF(ISBLANK(Master!X30),"",Master!X30)</f>
        <v>CT</v>
      </c>
      <c r="Z30" s="14" t="str">
        <f>IF(ISBLANK(Master!AA30),"",Master!AA30)</f>
        <v/>
      </c>
      <c r="AA30" s="14" t="str">
        <f>IF(ISBLANK(Master!AB30),"",Master!AB30)</f>
        <v>Tam</v>
      </c>
      <c r="AB30" s="14" t="str">
        <f>IF(ISBLANK(Master!AC30),"",Master!AC30)</f>
        <v/>
      </c>
      <c r="AC30" s="14" t="str">
        <f>IF(ISBLANK(Master!AD30),"",Master!AD30)</f>
        <v>Hill (Kirk)</v>
      </c>
      <c r="AD30" s="14" t="str">
        <f>IF(ISBLANK(Master!AE30),"",Master!AE30)</f>
        <v>Shaffiey</v>
      </c>
    </row>
    <row r="31" spans="1:30" x14ac:dyDescent="0.4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/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/>
      </c>
      <c r="X31" s="14" t="str">
        <f>IF(ISBLANK(Master!X31),"",Master!X31)</f>
        <v>x</v>
      </c>
      <c r="Z31" s="14" t="str">
        <f>IF(ISBLANK(Master!AA31),"",Master!AA31)</f>
        <v>Handzel</v>
      </c>
      <c r="AA31" s="14" t="str">
        <f>IF(ISBLANK(Master!AB31),"",Master!AB31)</f>
        <v/>
      </c>
      <c r="AB31" s="14" t="str">
        <f>IF(ISBLANK(Master!AC31),"",Master!AC31)</f>
        <v/>
      </c>
      <c r="AC31" s="14" t="str">
        <f>IF(ISBLANK(Master!AD31),"",Master!AD31)</f>
        <v/>
      </c>
      <c r="AD31" s="14" t="str">
        <f>IF(ISBLANK(Master!AE31),"",Master!AE31)</f>
        <v>NEEDS COVERAGE</v>
      </c>
    </row>
    <row r="32" spans="1:30" x14ac:dyDescent="0.4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X32" s="14" t="str">
        <f>IF(ISBLANK(Master!X32),"",Master!X32)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  <c r="AD32" s="14" t="str">
        <f>IF(ISBLANK(Master!AE32),"",Master!AE32)</f>
        <v/>
      </c>
    </row>
    <row r="33" spans="1:30" x14ac:dyDescent="0.4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X33" s="14" t="str">
        <f>IF(ISBLANK(Master!X33),"",Master!X33)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  <c r="AD33" s="14" t="str">
        <f>IF(ISBLANK(Master!AE33),"",Master!AE33)</f>
        <v/>
      </c>
    </row>
    <row r="34" spans="1:30" x14ac:dyDescent="0.4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/>
      </c>
      <c r="X34" s="14" t="str">
        <f>IF(ISBLANK(Master!X34),"",Master!X34)</f>
        <v>4-5</v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  <c r="AD34" s="14" t="str">
        <f>IF(ISBLANK(Master!AE34),"",Master!AE34)</f>
        <v/>
      </c>
    </row>
    <row r="35" spans="1:30" x14ac:dyDescent="0.4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5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4</v>
      </c>
      <c r="L35" s="14">
        <f>IF(ISBLANK(Master!L35),"",Master!L35)</f>
        <v>4</v>
      </c>
      <c r="M35" s="14">
        <f>IF(ISBLANK(Master!M35),"",Master!M35)</f>
        <v>4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 t="str">
        <f>IF(ISBLANK(Master!W35),"",Master!W35)</f>
        <v/>
      </c>
      <c r="X35" s="14">
        <f>IF(ISBLANK(Master!X35),"",Master!X35)</f>
        <v>6</v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  <c r="AD35" s="14" t="str">
        <f>IF(ISBLANK(Master!AE35),"",Master!AE35)</f>
        <v/>
      </c>
    </row>
  </sheetData>
  <sheetProtection algorithmName="SHA-512" hashValue="6Stx9e9ytZI/xbsyuTiJF2lQ2YoS4jY7W4xHSSc4QFQeHcnE14YF7PeqXAC6+iwZkjZD6160l8cfoAL9uWljzA==" saltValue="cOrrADBJ6G3xj60vCf9Z2A==" spinCount="100000" sheet="1" objects="1" scenarios="1"/>
  <conditionalFormatting sqref="Z1:Z1048576">
    <cfRule type="notContainsBlanks" dxfId="42" priority="4">
      <formula>LEN(TRIM(Z1))&gt;0</formula>
    </cfRule>
  </conditionalFormatting>
  <conditionalFormatting sqref="AA1:AA1048576">
    <cfRule type="notContainsBlanks" dxfId="41" priority="3">
      <formula>LEN(TRIM(AA1))&gt;0</formula>
    </cfRule>
  </conditionalFormatting>
  <conditionalFormatting sqref="AB1:AC1048576">
    <cfRule type="notContainsBlanks" dxfId="40" priority="2">
      <formula>LEN(TRIM(AB1))&gt;0</formula>
    </cfRule>
  </conditionalFormatting>
  <conditionalFormatting sqref="AD1:AD1048576">
    <cfRule type="notContainsBlanks" dxfId="39" priority="1">
      <formula>LEN(TRIM(AD1))&gt;0</formula>
    </cfRule>
  </conditionalFormatting>
  <conditionalFormatting sqref="C2:Y32">
    <cfRule type="cellIs" dxfId="38" priority="97" operator="equal">
      <formula>$AA$1</formula>
    </cfRule>
    <cfRule type="cellIs" dxfId="37" priority="98" operator="equal">
      <formula>$AC$1</formula>
    </cfRule>
    <cfRule type="cellIs" dxfId="36" priority="99" operator="equal">
      <formula>$AB$1</formula>
    </cfRule>
    <cfRule type="cellIs" dxfId="35" priority="100" operator="equal">
      <formula>$AD$1</formula>
    </cfRule>
    <cfRule type="cellIs" dxfId="34" priority="101" operator="equal">
      <formula>$Z$1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70" zoomScaleNormal="70" zoomScalePageLayoutView="6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L6" sqref="L6"/>
    </sheetView>
  </sheetViews>
  <sheetFormatPr defaultColWidth="8.84375" defaultRowHeight="14.6" x14ac:dyDescent="0.4"/>
  <cols>
    <col min="1" max="1" width="13" style="2" bestFit="1" customWidth="1"/>
    <col min="2" max="2" width="10.53515625" style="2" bestFit="1" customWidth="1"/>
    <col min="3" max="3" width="13.69140625" style="4" customWidth="1"/>
    <col min="4" max="6" width="9.53515625" style="4" bestFit="1" customWidth="1"/>
    <col min="7" max="7" width="8.69140625" style="4" bestFit="1" customWidth="1"/>
    <col min="8" max="8" width="10" style="4" bestFit="1" customWidth="1"/>
    <col min="9" max="9" width="10.15234375" style="4" bestFit="1" customWidth="1"/>
    <col min="10" max="10" width="8.69140625" style="4" bestFit="1" customWidth="1"/>
    <col min="11" max="11" width="14.53515625" style="4" bestFit="1" customWidth="1"/>
    <col min="12" max="12" width="8.69140625" style="6" bestFit="1" customWidth="1"/>
    <col min="13" max="13" width="12.53515625" style="4" bestFit="1" customWidth="1"/>
    <col min="14" max="14" width="9.15234375" style="4" bestFit="1" customWidth="1"/>
    <col min="15" max="15" width="9.3046875" style="4" bestFit="1" customWidth="1"/>
    <col min="16" max="18" width="8.69140625" style="4" bestFit="1" customWidth="1"/>
    <col min="19" max="19" width="10.15234375" style="4" bestFit="1" customWidth="1"/>
    <col min="20" max="20" width="8.84375" style="4" bestFit="1" customWidth="1"/>
    <col min="21" max="21" width="8.69140625" style="4" bestFit="1" customWidth="1"/>
    <col min="22" max="22" width="14" style="4" bestFit="1" customWidth="1"/>
    <col min="23" max="23" width="15.69140625" style="4" bestFit="1" customWidth="1"/>
    <col min="24" max="24" width="9.53515625" style="4" bestFit="1" customWidth="1"/>
    <col min="25" max="25" width="8.15234375" style="4" customWidth="1"/>
    <col min="26" max="26" width="16.84375" style="4" bestFit="1" customWidth="1"/>
    <col min="27" max="31" width="20.15234375" style="11" bestFit="1" customWidth="1"/>
    <col min="32" max="32" width="15.84375" style="11" customWidth="1"/>
    <col min="33" max="37" width="7.84375" style="4" customWidth="1"/>
    <col min="38" max="16384" width="8.84375" style="4"/>
  </cols>
  <sheetData>
    <row r="1" spans="1:37" x14ac:dyDescent="0.4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3" t="s">
        <v>23</v>
      </c>
      <c r="M1" s="2" t="s">
        <v>24</v>
      </c>
      <c r="N1" s="2" t="s">
        <v>25</v>
      </c>
      <c r="O1" s="2" t="s">
        <v>36</v>
      </c>
      <c r="P1" s="2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62</v>
      </c>
      <c r="X1" s="2" t="s">
        <v>60</v>
      </c>
      <c r="AA1" s="5" t="s">
        <v>2</v>
      </c>
      <c r="AB1" s="16" t="s">
        <v>35</v>
      </c>
      <c r="AC1" s="16" t="s">
        <v>32</v>
      </c>
      <c r="AD1" s="16" t="s">
        <v>31</v>
      </c>
      <c r="AE1" s="16" t="s">
        <v>3</v>
      </c>
      <c r="AF1" s="5"/>
      <c r="AG1" s="5" t="s">
        <v>2</v>
      </c>
      <c r="AH1" s="16" t="s">
        <v>35</v>
      </c>
      <c r="AI1" s="16" t="s">
        <v>32</v>
      </c>
      <c r="AJ1" s="16" t="s">
        <v>31</v>
      </c>
      <c r="AK1" s="16" t="s">
        <v>3</v>
      </c>
    </row>
    <row r="2" spans="1:37" x14ac:dyDescent="0.4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2" t="s">
        <v>35</v>
      </c>
      <c r="L2" s="3"/>
      <c r="M2" s="2">
        <v>1</v>
      </c>
      <c r="N2" s="2">
        <v>1</v>
      </c>
      <c r="O2" s="2">
        <v>2</v>
      </c>
      <c r="P2" s="2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/>
      <c r="X2" s="2" t="s">
        <v>11</v>
      </c>
      <c r="AA2" s="2" t="str">
        <f t="shared" ref="AA2:AA31" si="0">IF(ISBLANK(AG2),IF(COUNTIF($C2:$X2,AA$1)&gt;0,"ERROR",""),IF(COUNTIF($C2:$X2,AA$1)&lt;1,"NEEDS COVERAGE",IF(COUNTIF($C2:$X2,AA$1)&gt;1,"ERROR",IF(ISNA(INDEX($C$1:$X$1,MATCH(AA$1,$C2:$X2,0))),"",INDEX($C$1:$X$1,MATCH(AA$1,$C2:$X2,0))))))</f>
        <v/>
      </c>
      <c r="AB2" s="2" t="str">
        <f t="shared" ref="AB2:AB31" si="1">IF(ISBLANK(AH2),IF(COUNTIF($C2:$X2,AB$1)&gt;0,"ERROR",""),IF(COUNTIF($C2:$X2,AB$1)&lt;1,"NEEDS COVERAGE",IF(COUNTIF($C2:$X2,AB$1)&gt;1,"ERROR",IF(ISNA(INDEX($C$1:$X$1,MATCH(AB$1,$C2:$X2,0))),"",INDEX($C$1:$X$1,MATCH(AB$1,$C2:$X2,0))))))</f>
        <v>Van Der Windt</v>
      </c>
      <c r="AC2" s="2" t="str">
        <f t="shared" ref="AC2:AC31" si="2">IF(ISBLANK(AI2),IF(COUNTIF($C2:$X2,AC$1)&gt;0,"ERROR",""),IF(COUNTIF($C2:$X2,AC$1)&lt;1,"NEEDS COVERAGE",IF(COUNTIF($C2:$X2,AC$1)&gt;1,"ERROR",IF(ISNA(INDEX($C$1:$X$1,MATCH(AC$1,$C2:$X2,0))),"",INDEX($C$1:$X$1,MATCH(AC$1,$C2:$X2,0))))))</f>
        <v>Siow</v>
      </c>
      <c r="AD2" s="2" t="str">
        <f t="shared" ref="AD2:AD31" si="3">IF(ISBLANK(AJ2),IF(COUNTIF($C2:$X2,AD$1)&gt;0,"ERROR",""),IF(COUNTIF($C2:$X2,AD$1)&lt;1,"NEEDS COVERAGE",IF(COUNTIF($C2:$X2,AD$1)&gt;1,"ERROR",IF(ISNA(INDEX($C$1:$X$1,MATCH(AD$1,$C2:$X2,0))),"",INDEX($C$1:$X$1,MATCH(AD$1,$C2:$X2,0))))))</f>
        <v/>
      </c>
      <c r="AE2" s="2" t="str">
        <f t="shared" ref="AE2:AE31" si="4">IF(ISBLANK(AK2),IF(COUNTIF($C2:$X2,AE$1)&gt;0,"ERROR",""),IF(COUNTIF($C2:$X2,AE$1)&lt;1,"NEEDS COVERAGE",IF(COUNTIF($C2:$X2,AE$1)&gt;1,"ERROR",IF(ISNA(INDEX($C$1:$X$1,MATCH(AE$1,$C2:$X2,0))),"",INDEX($C$1:$X$1,MATCH(AE$1,$C2:$X2,0))))))</f>
        <v>NEEDS COVERAGE</v>
      </c>
      <c r="AF2" s="2"/>
      <c r="AG2" s="2"/>
      <c r="AH2" s="2" t="s">
        <v>11</v>
      </c>
      <c r="AI2" s="2" t="s">
        <v>11</v>
      </c>
      <c r="AJ2" s="2"/>
      <c r="AK2" s="2" t="s">
        <v>11</v>
      </c>
    </row>
    <row r="3" spans="1:37" x14ac:dyDescent="0.4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3" t="s">
        <v>11</v>
      </c>
      <c r="M3" s="2"/>
      <c r="N3" s="2" t="s">
        <v>11</v>
      </c>
      <c r="O3" s="2" t="s">
        <v>11</v>
      </c>
      <c r="P3" s="2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/>
      <c r="X3" s="2" t="s">
        <v>11</v>
      </c>
      <c r="AA3" s="2" t="str">
        <f t="shared" si="0"/>
        <v>Torres</v>
      </c>
      <c r="AB3" s="2" t="str">
        <f t="shared" si="1"/>
        <v/>
      </c>
      <c r="AC3" s="2" t="str">
        <f t="shared" si="2"/>
        <v/>
      </c>
      <c r="AD3" s="2" t="str">
        <f t="shared" si="3"/>
        <v>Okolo</v>
      </c>
      <c r="AE3" s="2" t="str">
        <f t="shared" si="4"/>
        <v>NEEDS COVERAGE</v>
      </c>
      <c r="AF3" s="2"/>
      <c r="AG3" s="2" t="s">
        <v>11</v>
      </c>
      <c r="AH3" s="2"/>
      <c r="AI3" s="2"/>
      <c r="AJ3" s="2" t="s">
        <v>11</v>
      </c>
      <c r="AK3" s="2" t="s">
        <v>11</v>
      </c>
    </row>
    <row r="4" spans="1:37" x14ac:dyDescent="0.4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3" t="s">
        <v>11</v>
      </c>
      <c r="M4" s="2"/>
      <c r="N4" s="2"/>
      <c r="O4" s="2" t="s">
        <v>11</v>
      </c>
      <c r="P4" s="2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/>
      <c r="X4" s="2" t="s">
        <v>11</v>
      </c>
      <c r="AA4" s="2" t="str">
        <f t="shared" si="0"/>
        <v/>
      </c>
      <c r="AB4" s="2" t="str">
        <f t="shared" si="1"/>
        <v/>
      </c>
      <c r="AC4" s="2" t="str">
        <f t="shared" si="2"/>
        <v/>
      </c>
      <c r="AD4" s="2" t="str">
        <f t="shared" si="3"/>
        <v/>
      </c>
      <c r="AE4" s="2" t="str">
        <f t="shared" si="4"/>
        <v>NEEDS COVERAGE</v>
      </c>
      <c r="AF4" s="2"/>
      <c r="AG4" s="2"/>
      <c r="AH4" s="2"/>
      <c r="AI4" s="2"/>
      <c r="AJ4" s="2"/>
      <c r="AK4" s="2" t="s">
        <v>11</v>
      </c>
    </row>
    <row r="5" spans="1:37" x14ac:dyDescent="0.4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3" t="s">
        <v>11</v>
      </c>
      <c r="M5" s="2" t="s">
        <v>35</v>
      </c>
      <c r="N5" s="2" t="s">
        <v>11</v>
      </c>
      <c r="O5" s="2" t="s">
        <v>11</v>
      </c>
      <c r="P5" s="2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/>
      <c r="X5" s="2" t="s">
        <v>11</v>
      </c>
      <c r="AA5" s="2" t="str">
        <f t="shared" si="0"/>
        <v/>
      </c>
      <c r="AB5" s="2" t="str">
        <f t="shared" si="1"/>
        <v>Griepentrog</v>
      </c>
      <c r="AC5" s="2" t="str">
        <f t="shared" si="2"/>
        <v/>
      </c>
      <c r="AD5" s="2" t="str">
        <f t="shared" si="3"/>
        <v>Siow</v>
      </c>
      <c r="AE5" s="2" t="str">
        <f t="shared" si="4"/>
        <v>NEEDS COVERAGE</v>
      </c>
      <c r="AF5" s="2"/>
      <c r="AG5" s="2"/>
      <c r="AH5" s="2" t="s">
        <v>11</v>
      </c>
      <c r="AI5" s="2"/>
      <c r="AJ5" s="2" t="s">
        <v>11</v>
      </c>
      <c r="AK5" s="2" t="s">
        <v>11</v>
      </c>
    </row>
    <row r="6" spans="1:37" s="6" customFormat="1" x14ac:dyDescent="0.4">
      <c r="A6" s="3" t="s">
        <v>8</v>
      </c>
      <c r="B6" s="20">
        <v>5</v>
      </c>
      <c r="C6" s="3" t="s">
        <v>11</v>
      </c>
      <c r="D6" s="3" t="s">
        <v>11</v>
      </c>
      <c r="E6" s="3" t="s">
        <v>11</v>
      </c>
      <c r="F6" s="3" t="s">
        <v>11</v>
      </c>
      <c r="G6" s="3" t="s">
        <v>11</v>
      </c>
      <c r="H6" s="3" t="s">
        <v>11</v>
      </c>
      <c r="I6" s="3" t="s">
        <v>11</v>
      </c>
      <c r="J6" s="3" t="s">
        <v>2</v>
      </c>
      <c r="K6" s="3" t="s">
        <v>11</v>
      </c>
      <c r="L6" s="3" t="s">
        <v>32</v>
      </c>
      <c r="M6" s="3"/>
      <c r="N6" s="3" t="s">
        <v>11</v>
      </c>
      <c r="O6" s="3" t="s">
        <v>35</v>
      </c>
      <c r="P6" s="3"/>
      <c r="Q6" s="3"/>
      <c r="R6" s="3"/>
      <c r="S6" s="3" t="s">
        <v>11</v>
      </c>
      <c r="T6" s="3" t="s">
        <v>11</v>
      </c>
      <c r="U6" s="3" t="s">
        <v>11</v>
      </c>
      <c r="V6" s="3" t="s">
        <v>11</v>
      </c>
      <c r="W6" s="3"/>
      <c r="X6" s="3" t="s">
        <v>11</v>
      </c>
      <c r="AA6" s="3" t="str">
        <f t="shared" si="0"/>
        <v>Torres</v>
      </c>
      <c r="AB6" s="3" t="str">
        <f t="shared" si="1"/>
        <v>Hill (Kirk)</v>
      </c>
      <c r="AC6" s="3" t="str">
        <f t="shared" si="2"/>
        <v>Yeh</v>
      </c>
      <c r="AD6" s="3" t="str">
        <f t="shared" si="3"/>
        <v/>
      </c>
      <c r="AE6" s="3" t="str">
        <f t="shared" si="4"/>
        <v>NEEDS COVERAGE</v>
      </c>
      <c r="AF6" s="3"/>
      <c r="AG6" s="3" t="s">
        <v>11</v>
      </c>
      <c r="AH6" s="3" t="s">
        <v>11</v>
      </c>
      <c r="AI6" s="3" t="s">
        <v>11</v>
      </c>
      <c r="AJ6" s="3"/>
      <c r="AK6" s="3" t="s">
        <v>11</v>
      </c>
    </row>
    <row r="7" spans="1:37" x14ac:dyDescent="0.4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2" t="s">
        <v>11</v>
      </c>
      <c r="L7" s="3"/>
      <c r="M7" s="2"/>
      <c r="N7" s="2" t="s">
        <v>11</v>
      </c>
      <c r="O7" s="2"/>
      <c r="P7" s="2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/>
      <c r="X7" s="2" t="s">
        <v>11</v>
      </c>
      <c r="AA7" s="2" t="str">
        <f t="shared" si="0"/>
        <v>Tam</v>
      </c>
      <c r="AB7" s="2" t="str">
        <f t="shared" si="1"/>
        <v>Okolo</v>
      </c>
      <c r="AC7" s="2" t="str">
        <f t="shared" si="2"/>
        <v/>
      </c>
      <c r="AD7" s="2" t="str">
        <f t="shared" si="3"/>
        <v/>
      </c>
      <c r="AE7" s="2" t="str">
        <f t="shared" si="4"/>
        <v>Theisen</v>
      </c>
      <c r="AF7" s="2"/>
      <c r="AG7" s="2" t="s">
        <v>11</v>
      </c>
      <c r="AH7" s="2" t="s">
        <v>11</v>
      </c>
      <c r="AI7" s="2"/>
      <c r="AJ7" s="2"/>
      <c r="AK7" s="2" t="s">
        <v>11</v>
      </c>
    </row>
    <row r="8" spans="1:37" x14ac:dyDescent="0.4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2" t="s">
        <v>11</v>
      </c>
      <c r="L8" s="3" t="s">
        <v>2</v>
      </c>
      <c r="M8" s="2"/>
      <c r="N8" s="2" t="s">
        <v>11</v>
      </c>
      <c r="O8" s="2"/>
      <c r="P8" s="2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/>
      <c r="X8" s="2" t="s">
        <v>11</v>
      </c>
      <c r="AA8" s="2" t="str">
        <f t="shared" si="0"/>
        <v>Yeh</v>
      </c>
      <c r="AB8" s="2" t="str">
        <f t="shared" si="1"/>
        <v>Siow</v>
      </c>
      <c r="AC8" s="2" t="str">
        <f t="shared" si="2"/>
        <v/>
      </c>
      <c r="AD8" s="2" t="str">
        <f t="shared" si="3"/>
        <v>Dyer</v>
      </c>
      <c r="AE8" s="2" t="str">
        <f t="shared" si="4"/>
        <v>NEEDS COVERAGE</v>
      </c>
      <c r="AF8" s="2"/>
      <c r="AG8" s="2" t="s">
        <v>11</v>
      </c>
      <c r="AH8" s="2" t="s">
        <v>11</v>
      </c>
      <c r="AI8" s="2"/>
      <c r="AJ8" s="2" t="s">
        <v>11</v>
      </c>
      <c r="AK8" s="2" t="s">
        <v>11</v>
      </c>
    </row>
    <row r="9" spans="1:37" x14ac:dyDescent="0.4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2" t="s">
        <v>11</v>
      </c>
      <c r="L9" s="3"/>
      <c r="M9" s="2"/>
      <c r="N9" s="2" t="s">
        <v>11</v>
      </c>
      <c r="O9" s="2"/>
      <c r="P9" s="2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/>
      <c r="X9" s="2" t="s">
        <v>11</v>
      </c>
      <c r="AA9" s="2" t="str">
        <f t="shared" si="0"/>
        <v/>
      </c>
      <c r="AB9" s="2" t="str">
        <f t="shared" si="1"/>
        <v>Tam</v>
      </c>
      <c r="AC9" s="2" t="str">
        <f t="shared" si="2"/>
        <v/>
      </c>
      <c r="AD9" s="2" t="str">
        <f t="shared" si="3"/>
        <v/>
      </c>
      <c r="AE9" s="2" t="str">
        <f t="shared" si="4"/>
        <v>Theisen</v>
      </c>
      <c r="AF9" s="2"/>
      <c r="AG9" s="2"/>
      <c r="AH9" s="2" t="s">
        <v>11</v>
      </c>
      <c r="AI9" s="2"/>
      <c r="AJ9" s="2"/>
      <c r="AK9" s="2" t="s">
        <v>11</v>
      </c>
    </row>
    <row r="10" spans="1:37" x14ac:dyDescent="0.4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3" t="s">
        <v>11</v>
      </c>
      <c r="M10" s="2" t="s">
        <v>11</v>
      </c>
      <c r="N10" s="2" t="s">
        <v>11</v>
      </c>
      <c r="O10" s="2" t="s">
        <v>2</v>
      </c>
      <c r="P10" s="2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/>
      <c r="X10" s="2" t="s">
        <v>11</v>
      </c>
      <c r="AA10" s="2" t="str">
        <f t="shared" si="0"/>
        <v>Hill (Kirk)</v>
      </c>
      <c r="AB10" s="2" t="str">
        <f t="shared" si="1"/>
        <v/>
      </c>
      <c r="AC10" s="2" t="str">
        <f t="shared" si="2"/>
        <v/>
      </c>
      <c r="AD10" s="2" t="str">
        <f t="shared" si="3"/>
        <v/>
      </c>
      <c r="AE10" s="2" t="str">
        <f t="shared" si="4"/>
        <v>Chen</v>
      </c>
      <c r="AF10" s="2"/>
      <c r="AG10" s="2" t="s">
        <v>11</v>
      </c>
      <c r="AH10" s="2"/>
      <c r="AI10" s="2"/>
      <c r="AJ10" s="2"/>
      <c r="AK10" s="2" t="s">
        <v>11</v>
      </c>
    </row>
    <row r="11" spans="1:37" x14ac:dyDescent="0.4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3" t="s">
        <v>11</v>
      </c>
      <c r="M11" s="2" t="s">
        <v>11</v>
      </c>
      <c r="N11" s="2" t="s">
        <v>11</v>
      </c>
      <c r="O11" s="2" t="s">
        <v>11</v>
      </c>
      <c r="P11" s="2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/>
      <c r="X11" s="2" t="s">
        <v>11</v>
      </c>
      <c r="AA11" s="2" t="str">
        <f t="shared" si="0"/>
        <v/>
      </c>
      <c r="AB11" s="2" t="str">
        <f t="shared" si="1"/>
        <v/>
      </c>
      <c r="AC11" s="2" t="str">
        <f t="shared" si="2"/>
        <v/>
      </c>
      <c r="AD11" s="2" t="str">
        <f t="shared" si="3"/>
        <v>Okolo</v>
      </c>
      <c r="AE11" s="2" t="str">
        <f t="shared" si="4"/>
        <v>NEEDS COVERAGE</v>
      </c>
      <c r="AF11" s="2"/>
      <c r="AG11" s="2"/>
      <c r="AH11" s="2"/>
      <c r="AI11" s="2"/>
      <c r="AJ11" s="2" t="s">
        <v>11</v>
      </c>
      <c r="AK11" s="2" t="s">
        <v>11</v>
      </c>
    </row>
    <row r="12" spans="1:37" x14ac:dyDescent="0.4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3" t="s">
        <v>11</v>
      </c>
      <c r="M12" s="2" t="s">
        <v>11</v>
      </c>
      <c r="N12" s="2" t="s">
        <v>11</v>
      </c>
      <c r="O12" s="2" t="s">
        <v>11</v>
      </c>
      <c r="P12" s="2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/>
      <c r="X12" s="2" t="s">
        <v>11</v>
      </c>
      <c r="AA12" s="2" t="str">
        <f t="shared" si="0"/>
        <v/>
      </c>
      <c r="AB12" s="2" t="str">
        <f t="shared" si="1"/>
        <v>Okolo</v>
      </c>
      <c r="AC12" s="2" t="str">
        <f t="shared" si="2"/>
        <v/>
      </c>
      <c r="AD12" s="2" t="str">
        <f t="shared" si="3"/>
        <v/>
      </c>
      <c r="AE12" s="2" t="str">
        <f t="shared" si="4"/>
        <v>NEEDS COVERAGE</v>
      </c>
      <c r="AF12" s="2"/>
      <c r="AG12" s="2"/>
      <c r="AH12" s="2" t="s">
        <v>11</v>
      </c>
      <c r="AI12" s="2"/>
      <c r="AJ12" s="2"/>
      <c r="AK12" s="2" t="s">
        <v>11</v>
      </c>
    </row>
    <row r="13" spans="1:37" ht="15" customHeight="1" x14ac:dyDescent="0.4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3"/>
      <c r="M13" s="2"/>
      <c r="N13" s="2" t="s">
        <v>11</v>
      </c>
      <c r="O13" s="2" t="s">
        <v>11</v>
      </c>
      <c r="P13" s="2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/>
      <c r="X13" s="2" t="s">
        <v>11</v>
      </c>
      <c r="AA13" s="2" t="str">
        <f t="shared" si="0"/>
        <v>Torres</v>
      </c>
      <c r="AB13" s="2" t="str">
        <f t="shared" si="1"/>
        <v>Tam</v>
      </c>
      <c r="AC13" s="2" t="str">
        <f t="shared" si="2"/>
        <v/>
      </c>
      <c r="AD13" s="2" t="str">
        <f t="shared" si="3"/>
        <v/>
      </c>
      <c r="AE13" s="2" t="str">
        <f t="shared" si="4"/>
        <v>NEEDS COVERAGE</v>
      </c>
      <c r="AF13" s="2"/>
      <c r="AG13" s="2" t="s">
        <v>11</v>
      </c>
      <c r="AH13" s="2" t="s">
        <v>11</v>
      </c>
      <c r="AI13" s="2"/>
      <c r="AJ13" s="2"/>
      <c r="AK13" s="2" t="s">
        <v>11</v>
      </c>
    </row>
    <row r="14" spans="1:37" x14ac:dyDescent="0.4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2" t="s">
        <v>11</v>
      </c>
      <c r="L14" s="3" t="s">
        <v>31</v>
      </c>
      <c r="M14" s="2" t="s">
        <v>35</v>
      </c>
      <c r="N14" s="2" t="s">
        <v>11</v>
      </c>
      <c r="O14" s="2" t="s">
        <v>11</v>
      </c>
      <c r="P14" s="2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/>
      <c r="X14" s="2" t="s">
        <v>11</v>
      </c>
      <c r="AA14" s="2" t="str">
        <f t="shared" si="0"/>
        <v>Dyer</v>
      </c>
      <c r="AB14" s="2" t="str">
        <f t="shared" si="1"/>
        <v>Griepentrog</v>
      </c>
      <c r="AC14" s="2" t="str">
        <f t="shared" si="2"/>
        <v/>
      </c>
      <c r="AD14" s="2" t="str">
        <f t="shared" si="3"/>
        <v>Yeh</v>
      </c>
      <c r="AE14" s="2" t="str">
        <f t="shared" si="4"/>
        <v>Schusterman</v>
      </c>
      <c r="AF14" s="2"/>
      <c r="AG14" s="2" t="s">
        <v>11</v>
      </c>
      <c r="AH14" s="2" t="s">
        <v>11</v>
      </c>
      <c r="AI14" s="2"/>
      <c r="AJ14" s="2" t="s">
        <v>11</v>
      </c>
      <c r="AK14" s="2" t="s">
        <v>11</v>
      </c>
    </row>
    <row r="15" spans="1:37" x14ac:dyDescent="0.4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2" t="s">
        <v>11</v>
      </c>
      <c r="L15" s="3"/>
      <c r="M15" s="2"/>
      <c r="N15" s="2" t="s">
        <v>11</v>
      </c>
      <c r="O15" s="2"/>
      <c r="P15" s="2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/>
      <c r="X15" s="2" t="s">
        <v>11</v>
      </c>
      <c r="AA15" s="2" t="str">
        <f t="shared" si="0"/>
        <v>Okolo</v>
      </c>
      <c r="AB15" s="2" t="str">
        <f t="shared" si="1"/>
        <v>Torres</v>
      </c>
      <c r="AC15" s="2" t="str">
        <f t="shared" si="2"/>
        <v/>
      </c>
      <c r="AD15" s="2" t="str">
        <f t="shared" si="3"/>
        <v/>
      </c>
      <c r="AE15" s="2" t="str">
        <f t="shared" si="4"/>
        <v>NEEDS COVERAGE</v>
      </c>
      <c r="AF15" s="2"/>
      <c r="AG15" s="2" t="s">
        <v>11</v>
      </c>
      <c r="AH15" s="2" t="s">
        <v>11</v>
      </c>
      <c r="AI15" s="2"/>
      <c r="AJ15" s="2"/>
      <c r="AK15" s="2" t="s">
        <v>11</v>
      </c>
    </row>
    <row r="16" spans="1:37" x14ac:dyDescent="0.4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2" t="s">
        <v>11</v>
      </c>
      <c r="L16" s="3"/>
      <c r="M16" s="2"/>
      <c r="N16" s="2" t="s">
        <v>35</v>
      </c>
      <c r="O16" s="2" t="s">
        <v>3</v>
      </c>
      <c r="P16" s="2"/>
      <c r="Q16" s="2"/>
      <c r="R16" s="2"/>
      <c r="S16" s="2" t="s">
        <v>11</v>
      </c>
      <c r="T16" s="2"/>
      <c r="U16" s="2" t="s">
        <v>11</v>
      </c>
      <c r="V16" s="2" t="s">
        <v>11</v>
      </c>
      <c r="W16" s="2"/>
      <c r="X16" s="2" t="s">
        <v>11</v>
      </c>
      <c r="AA16" s="2" t="str">
        <f t="shared" si="0"/>
        <v/>
      </c>
      <c r="AB16" s="2" t="str">
        <f t="shared" si="1"/>
        <v>Handzel</v>
      </c>
      <c r="AC16" s="2" t="str">
        <f t="shared" si="2"/>
        <v/>
      </c>
      <c r="AD16" s="2" t="str">
        <f t="shared" si="3"/>
        <v/>
      </c>
      <c r="AE16" s="2" t="str">
        <f t="shared" si="4"/>
        <v>Hill (Kirk)</v>
      </c>
      <c r="AF16" s="2"/>
      <c r="AG16" s="2"/>
      <c r="AH16" s="2" t="s">
        <v>11</v>
      </c>
      <c r="AI16" s="2"/>
      <c r="AJ16" s="2"/>
      <c r="AK16" s="2" t="s">
        <v>11</v>
      </c>
    </row>
    <row r="17" spans="1:37" x14ac:dyDescent="0.4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2" t="s">
        <v>11</v>
      </c>
      <c r="L17" s="3" t="s">
        <v>11</v>
      </c>
      <c r="M17" s="2" t="s">
        <v>31</v>
      </c>
      <c r="N17" s="2"/>
      <c r="O17" s="2" t="s">
        <v>45</v>
      </c>
      <c r="P17" s="2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/>
      <c r="X17" s="2" t="s">
        <v>11</v>
      </c>
      <c r="Y17" s="4" t="s">
        <v>44</v>
      </c>
      <c r="AA17" s="2" t="str">
        <f t="shared" si="0"/>
        <v>Siow</v>
      </c>
      <c r="AB17" s="2" t="str">
        <f t="shared" si="1"/>
        <v/>
      </c>
      <c r="AC17" s="2" t="str">
        <f t="shared" si="2"/>
        <v/>
      </c>
      <c r="AD17" s="2" t="str">
        <f t="shared" si="3"/>
        <v>Griepentrog</v>
      </c>
      <c r="AE17" s="2" t="str">
        <f t="shared" si="4"/>
        <v>NEEDS COVERAGE</v>
      </c>
      <c r="AF17" s="2"/>
      <c r="AG17" s="2" t="s">
        <v>11</v>
      </c>
      <c r="AH17" s="2"/>
      <c r="AI17" s="2"/>
      <c r="AJ17" s="2" t="s">
        <v>11</v>
      </c>
      <c r="AK17" s="2" t="s">
        <v>11</v>
      </c>
    </row>
    <row r="18" spans="1:37" x14ac:dyDescent="0.4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2" t="s">
        <v>11</v>
      </c>
      <c r="L18" s="3" t="s">
        <v>11</v>
      </c>
      <c r="M18" s="2"/>
      <c r="N18" s="2"/>
      <c r="O18" s="2"/>
      <c r="P18" s="2"/>
      <c r="Q18" s="2"/>
      <c r="R18" s="2" t="s">
        <v>11</v>
      </c>
      <c r="S18" s="2" t="s">
        <v>11</v>
      </c>
      <c r="T18" s="2"/>
      <c r="U18" s="2" t="s">
        <v>11</v>
      </c>
      <c r="V18" s="2"/>
      <c r="W18" s="2"/>
      <c r="X18" s="2" t="s">
        <v>11</v>
      </c>
      <c r="AA18" s="2" t="str">
        <f t="shared" si="0"/>
        <v/>
      </c>
      <c r="AB18" s="2" t="str">
        <f t="shared" si="1"/>
        <v/>
      </c>
      <c r="AC18" s="2" t="str">
        <f t="shared" si="2"/>
        <v/>
      </c>
      <c r="AD18" s="2" t="str">
        <f t="shared" si="3"/>
        <v/>
      </c>
      <c r="AE18" s="2" t="str">
        <f t="shared" si="4"/>
        <v>NEEDS COVERAGE</v>
      </c>
      <c r="AF18" s="2"/>
      <c r="AG18" s="2"/>
      <c r="AH18" s="2"/>
      <c r="AI18" s="2"/>
      <c r="AJ18" s="2"/>
      <c r="AK18" s="2" t="s">
        <v>11</v>
      </c>
    </row>
    <row r="19" spans="1:37" x14ac:dyDescent="0.4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2"/>
      <c r="L19" s="3" t="s">
        <v>11</v>
      </c>
      <c r="M19" s="2"/>
      <c r="N19" s="2" t="s">
        <v>35</v>
      </c>
      <c r="O19" s="2" t="s">
        <v>11</v>
      </c>
      <c r="P19" s="2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/>
      <c r="X19" s="2" t="s">
        <v>11</v>
      </c>
      <c r="AA19" s="2" t="str">
        <f t="shared" si="0"/>
        <v/>
      </c>
      <c r="AB19" s="2" t="str">
        <f t="shared" si="1"/>
        <v>Handzel</v>
      </c>
      <c r="AC19" s="2" t="str">
        <f t="shared" si="2"/>
        <v/>
      </c>
      <c r="AD19" s="2" t="str">
        <f t="shared" si="3"/>
        <v/>
      </c>
      <c r="AE19" s="2" t="str">
        <f t="shared" si="4"/>
        <v>NEEDS COVERAGE</v>
      </c>
      <c r="AF19" s="2"/>
      <c r="AG19" s="2"/>
      <c r="AH19" s="2" t="s">
        <v>11</v>
      </c>
      <c r="AI19" s="2"/>
      <c r="AJ19" s="2"/>
      <c r="AK19" s="2" t="s">
        <v>11</v>
      </c>
    </row>
    <row r="20" spans="1:37" x14ac:dyDescent="0.4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2"/>
      <c r="L20" s="3"/>
      <c r="M20" s="2"/>
      <c r="N20" s="2" t="s">
        <v>11</v>
      </c>
      <c r="O20" s="2"/>
      <c r="P20" s="2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/>
      <c r="X20" s="2" t="s">
        <v>11</v>
      </c>
      <c r="AA20" s="2" t="str">
        <f t="shared" si="0"/>
        <v>Tam</v>
      </c>
      <c r="AB20" s="2" t="str">
        <f t="shared" si="1"/>
        <v>Dyer</v>
      </c>
      <c r="AC20" s="2" t="str">
        <f t="shared" si="2"/>
        <v/>
      </c>
      <c r="AD20" s="2" t="str">
        <f t="shared" si="3"/>
        <v>Siow</v>
      </c>
      <c r="AE20" s="2" t="str">
        <f t="shared" si="4"/>
        <v>NEEDS COVERAGE</v>
      </c>
      <c r="AF20" s="2"/>
      <c r="AG20" s="2" t="s">
        <v>11</v>
      </c>
      <c r="AH20" s="2" t="s">
        <v>11</v>
      </c>
      <c r="AI20" s="2"/>
      <c r="AJ20" s="2" t="s">
        <v>11</v>
      </c>
      <c r="AK20" s="2" t="s">
        <v>11</v>
      </c>
    </row>
    <row r="21" spans="1:37" x14ac:dyDescent="0.4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2" t="s">
        <v>2</v>
      </c>
      <c r="L21" s="3"/>
      <c r="M21" s="2"/>
      <c r="N21" s="2" t="s">
        <v>35</v>
      </c>
      <c r="O21" s="2"/>
      <c r="P21" s="2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/>
      <c r="X21" s="2" t="s">
        <v>3</v>
      </c>
      <c r="AA21" s="2" t="str">
        <f t="shared" si="0"/>
        <v>Van Der Windt</v>
      </c>
      <c r="AB21" s="2" t="str">
        <f t="shared" si="1"/>
        <v>Handzel</v>
      </c>
      <c r="AC21" s="2" t="str">
        <f t="shared" si="2"/>
        <v/>
      </c>
      <c r="AD21" s="2" t="str">
        <f t="shared" si="3"/>
        <v/>
      </c>
      <c r="AE21" s="2" t="str">
        <f t="shared" si="4"/>
        <v>Shaffiey</v>
      </c>
      <c r="AF21" s="2"/>
      <c r="AG21" s="2" t="s">
        <v>11</v>
      </c>
      <c r="AH21" s="2" t="s">
        <v>11</v>
      </c>
      <c r="AI21" s="2"/>
      <c r="AJ21" s="2"/>
      <c r="AK21" s="2" t="s">
        <v>11</v>
      </c>
    </row>
    <row r="22" spans="1:37" x14ac:dyDescent="0.4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2"/>
      <c r="L22" s="3"/>
      <c r="M22" s="2"/>
      <c r="N22" s="2" t="s">
        <v>11</v>
      </c>
      <c r="O22" s="2"/>
      <c r="P22" s="2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/>
      <c r="X22" s="2" t="s">
        <v>2</v>
      </c>
      <c r="AA22" s="2" t="str">
        <f t="shared" si="0"/>
        <v>Shaffiey</v>
      </c>
      <c r="AB22" s="2" t="str">
        <f t="shared" si="1"/>
        <v>Dyer</v>
      </c>
      <c r="AC22" s="2" t="str">
        <f t="shared" si="2"/>
        <v/>
      </c>
      <c r="AD22" s="2" t="str">
        <f t="shared" si="3"/>
        <v/>
      </c>
      <c r="AE22" s="2" t="str">
        <f t="shared" si="4"/>
        <v>Schusterman</v>
      </c>
      <c r="AF22" s="2"/>
      <c r="AG22" s="2" t="s">
        <v>11</v>
      </c>
      <c r="AH22" s="2" t="s">
        <v>11</v>
      </c>
      <c r="AI22" s="2"/>
      <c r="AJ22" s="2"/>
      <c r="AK22" s="2" t="s">
        <v>11</v>
      </c>
    </row>
    <row r="23" spans="1:37" x14ac:dyDescent="0.4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2"/>
      <c r="L23" s="3"/>
      <c r="M23" s="2"/>
      <c r="N23" s="2" t="s">
        <v>31</v>
      </c>
      <c r="O23" s="2" t="s">
        <v>35</v>
      </c>
      <c r="P23" s="2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 t="s">
        <v>63</v>
      </c>
      <c r="X23" s="2"/>
      <c r="AA23" s="2" t="str">
        <f t="shared" si="0"/>
        <v/>
      </c>
      <c r="AB23" s="2" t="str">
        <f t="shared" si="1"/>
        <v>Hill (Kirk)</v>
      </c>
      <c r="AC23" s="2" t="str">
        <f t="shared" si="2"/>
        <v/>
      </c>
      <c r="AD23" s="2" t="str">
        <f t="shared" si="3"/>
        <v>Handzel</v>
      </c>
      <c r="AE23" s="2" t="str">
        <f t="shared" si="4"/>
        <v>NEEDS COVERAGE</v>
      </c>
      <c r="AF23" s="2"/>
      <c r="AG23" s="2"/>
      <c r="AH23" s="2" t="s">
        <v>11</v>
      </c>
      <c r="AI23" s="2"/>
      <c r="AJ23" s="2" t="s">
        <v>11</v>
      </c>
      <c r="AK23" s="2" t="s">
        <v>11</v>
      </c>
    </row>
    <row r="24" spans="1:37" x14ac:dyDescent="0.4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2" t="s">
        <v>2</v>
      </c>
      <c r="L24" s="3" t="s">
        <v>11</v>
      </c>
      <c r="M24" s="2"/>
      <c r="N24" s="2"/>
      <c r="O24" s="2"/>
      <c r="P24" s="2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63</v>
      </c>
      <c r="X24" s="2" t="s">
        <v>11</v>
      </c>
      <c r="Y24" s="4" t="s">
        <v>48</v>
      </c>
      <c r="AA24" s="2" t="str">
        <f t="shared" si="0"/>
        <v>Van Der Windt</v>
      </c>
      <c r="AB24" s="2" t="str">
        <f t="shared" si="1"/>
        <v/>
      </c>
      <c r="AC24" s="2" t="str">
        <f t="shared" si="2"/>
        <v>Okolo</v>
      </c>
      <c r="AD24" s="2" t="str">
        <f t="shared" si="3"/>
        <v/>
      </c>
      <c r="AE24" s="2" t="str">
        <f t="shared" si="4"/>
        <v>NEEDS COVERAGE</v>
      </c>
      <c r="AF24" s="2"/>
      <c r="AG24" s="2" t="s">
        <v>11</v>
      </c>
      <c r="AH24" s="2"/>
      <c r="AI24" s="2" t="s">
        <v>11</v>
      </c>
      <c r="AJ24" s="2"/>
      <c r="AK24" s="2" t="s">
        <v>11</v>
      </c>
    </row>
    <row r="25" spans="1:37" ht="15" customHeight="1" x14ac:dyDescent="0.4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2"/>
      <c r="L25" s="3" t="s">
        <v>11</v>
      </c>
      <c r="M25" s="2"/>
      <c r="N25" s="2"/>
      <c r="O25" s="2"/>
      <c r="P25" s="2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/>
      <c r="X25" s="2" t="s">
        <v>11</v>
      </c>
      <c r="AA25" s="2" t="str">
        <f t="shared" si="0"/>
        <v/>
      </c>
      <c r="AB25" s="2" t="str">
        <f t="shared" si="1"/>
        <v/>
      </c>
      <c r="AC25" s="2" t="str">
        <f t="shared" si="2"/>
        <v/>
      </c>
      <c r="AD25" s="2" t="str">
        <f t="shared" si="3"/>
        <v/>
      </c>
      <c r="AE25" s="2" t="str">
        <f t="shared" si="4"/>
        <v>NEEDS COVERAGE</v>
      </c>
      <c r="AF25" s="2"/>
      <c r="AG25" s="2"/>
      <c r="AH25" s="2"/>
      <c r="AI25" s="2"/>
      <c r="AJ25" s="2"/>
      <c r="AK25" s="2" t="s">
        <v>11</v>
      </c>
    </row>
    <row r="26" spans="1:37" x14ac:dyDescent="0.4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/>
      <c r="H26" s="2" t="s">
        <v>11</v>
      </c>
      <c r="I26" s="2" t="s">
        <v>11</v>
      </c>
      <c r="J26" s="2" t="s">
        <v>11</v>
      </c>
      <c r="K26" s="2"/>
      <c r="L26" s="3" t="s">
        <v>11</v>
      </c>
      <c r="M26" s="2"/>
      <c r="N26" s="2"/>
      <c r="O26" s="2"/>
      <c r="P26" s="2"/>
      <c r="Q26" s="2" t="s">
        <v>35</v>
      </c>
      <c r="R26" s="2"/>
      <c r="S26" s="2" t="s">
        <v>11</v>
      </c>
      <c r="T26" s="2" t="s">
        <v>11</v>
      </c>
      <c r="U26" s="2" t="s">
        <v>11</v>
      </c>
      <c r="V26" s="2" t="s">
        <v>11</v>
      </c>
      <c r="W26" s="2"/>
      <c r="X26" s="2" t="s">
        <v>11</v>
      </c>
      <c r="AA26" s="2" t="str">
        <f t="shared" si="0"/>
        <v/>
      </c>
      <c r="AB26" s="2" t="str">
        <f t="shared" si="1"/>
        <v>Siow</v>
      </c>
      <c r="AC26" s="2" t="str">
        <f t="shared" si="2"/>
        <v/>
      </c>
      <c r="AD26" s="2" t="str">
        <f t="shared" si="3"/>
        <v/>
      </c>
      <c r="AE26" s="2" t="str">
        <f t="shared" si="4"/>
        <v>NEEDS COVERAGE</v>
      </c>
      <c r="AF26" s="2"/>
      <c r="AG26" s="2"/>
      <c r="AH26" s="2" t="s">
        <v>11</v>
      </c>
      <c r="AI26" s="2"/>
      <c r="AJ26" s="2"/>
      <c r="AK26" s="2" t="s">
        <v>11</v>
      </c>
    </row>
    <row r="27" spans="1:37" x14ac:dyDescent="0.4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2" t="s">
        <v>35</v>
      </c>
      <c r="L27" s="3" t="s">
        <v>11</v>
      </c>
      <c r="M27" s="2"/>
      <c r="N27" s="2" t="s">
        <v>11</v>
      </c>
      <c r="O27" s="2" t="s">
        <v>2</v>
      </c>
      <c r="P27" s="2"/>
      <c r="Q27" s="2"/>
      <c r="R27" s="2" t="s">
        <v>31</v>
      </c>
      <c r="S27" s="2" t="s">
        <v>11</v>
      </c>
      <c r="T27" s="2" t="s">
        <v>11</v>
      </c>
      <c r="U27" s="2" t="s">
        <v>11</v>
      </c>
      <c r="V27" s="2"/>
      <c r="W27" s="2"/>
      <c r="X27" s="2" t="s">
        <v>3</v>
      </c>
      <c r="AA27" s="2" t="str">
        <f t="shared" si="0"/>
        <v>Hill (Kirk)</v>
      </c>
      <c r="AB27" s="2" t="str">
        <f t="shared" si="1"/>
        <v>Van Der Windt</v>
      </c>
      <c r="AC27" s="2" t="str">
        <f t="shared" si="2"/>
        <v/>
      </c>
      <c r="AD27" s="2" t="str">
        <f t="shared" si="3"/>
        <v>Tam</v>
      </c>
      <c r="AE27" s="2" t="str">
        <f t="shared" si="4"/>
        <v>Shaffiey</v>
      </c>
      <c r="AF27" s="2"/>
      <c r="AG27" s="2" t="s">
        <v>11</v>
      </c>
      <c r="AH27" s="2" t="s">
        <v>11</v>
      </c>
      <c r="AI27" s="2"/>
      <c r="AJ27" s="2" t="s">
        <v>11</v>
      </c>
      <c r="AK27" s="2" t="s">
        <v>11</v>
      </c>
    </row>
    <row r="28" spans="1:37" x14ac:dyDescent="0.4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2"/>
      <c r="H28" s="2" t="s">
        <v>11</v>
      </c>
      <c r="I28" s="2" t="s">
        <v>11</v>
      </c>
      <c r="J28" s="2" t="s">
        <v>11</v>
      </c>
      <c r="K28" s="2"/>
      <c r="L28" s="3"/>
      <c r="M28" s="2" t="s">
        <v>2</v>
      </c>
      <c r="N28" s="2" t="s">
        <v>35</v>
      </c>
      <c r="O28" s="2"/>
      <c r="P28" s="2" t="s">
        <v>31</v>
      </c>
      <c r="Q28" s="2"/>
      <c r="R28" s="2"/>
      <c r="S28" s="2" t="s">
        <v>11</v>
      </c>
      <c r="T28" s="2" t="s">
        <v>11</v>
      </c>
      <c r="U28" s="2" t="s">
        <v>11</v>
      </c>
      <c r="V28" s="2"/>
      <c r="W28" s="2"/>
      <c r="X28" s="2" t="s">
        <v>3</v>
      </c>
      <c r="AA28" s="2" t="str">
        <f t="shared" si="0"/>
        <v>Griepentrog</v>
      </c>
      <c r="AB28" s="2" t="str">
        <f t="shared" si="1"/>
        <v>Handzel</v>
      </c>
      <c r="AC28" s="2" t="str">
        <f t="shared" si="2"/>
        <v/>
      </c>
      <c r="AD28" s="2" t="str">
        <f t="shared" si="3"/>
        <v>Okolo</v>
      </c>
      <c r="AE28" s="2" t="str">
        <f t="shared" si="4"/>
        <v>Shaffiey</v>
      </c>
      <c r="AF28" s="2"/>
      <c r="AG28" s="2" t="s">
        <v>11</v>
      </c>
      <c r="AH28" s="2" t="s">
        <v>11</v>
      </c>
      <c r="AI28" s="2"/>
      <c r="AJ28" s="2" t="s">
        <v>11</v>
      </c>
      <c r="AK28" s="2" t="s">
        <v>11</v>
      </c>
    </row>
    <row r="29" spans="1:37" x14ac:dyDescent="0.4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2" t="s">
        <v>2</v>
      </c>
      <c r="H29" s="2" t="s">
        <v>11</v>
      </c>
      <c r="I29" s="2" t="s">
        <v>11</v>
      </c>
      <c r="J29" s="2" t="s">
        <v>11</v>
      </c>
      <c r="K29" s="2"/>
      <c r="L29" s="3" t="s">
        <v>35</v>
      </c>
      <c r="M29" s="2"/>
      <c r="N29" s="2" t="s">
        <v>11</v>
      </c>
      <c r="O29" s="2"/>
      <c r="P29" s="2"/>
      <c r="Q29" s="2"/>
      <c r="R29" s="2" t="s">
        <v>31</v>
      </c>
      <c r="S29" s="2" t="s">
        <v>11</v>
      </c>
      <c r="T29" s="2" t="s">
        <v>11</v>
      </c>
      <c r="U29" s="2" t="s">
        <v>11</v>
      </c>
      <c r="V29" s="2"/>
      <c r="W29" s="2"/>
      <c r="X29" s="2" t="s">
        <v>3</v>
      </c>
      <c r="AA29" s="2" t="str">
        <f t="shared" si="0"/>
        <v>Dyer</v>
      </c>
      <c r="AB29" s="2" t="str">
        <f t="shared" si="1"/>
        <v>Yeh</v>
      </c>
      <c r="AC29" s="2" t="str">
        <f t="shared" si="2"/>
        <v/>
      </c>
      <c r="AD29" s="2" t="str">
        <f t="shared" si="3"/>
        <v>Tam</v>
      </c>
      <c r="AE29" s="2" t="str">
        <f t="shared" si="4"/>
        <v>Shaffiey</v>
      </c>
      <c r="AF29" s="2"/>
      <c r="AG29" s="2" t="s">
        <v>11</v>
      </c>
      <c r="AH29" s="2" t="s">
        <v>11</v>
      </c>
      <c r="AI29" s="2"/>
      <c r="AJ29" s="2" t="s">
        <v>11</v>
      </c>
      <c r="AK29" s="2" t="s">
        <v>11</v>
      </c>
    </row>
    <row r="30" spans="1:37" x14ac:dyDescent="0.4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2"/>
      <c r="H30" s="2" t="s">
        <v>11</v>
      </c>
      <c r="I30" s="2" t="s">
        <v>11</v>
      </c>
      <c r="J30" s="2" t="s">
        <v>11</v>
      </c>
      <c r="K30" s="2"/>
      <c r="L30" s="3"/>
      <c r="M30" s="2"/>
      <c r="N30" s="2"/>
      <c r="O30" s="2" t="s">
        <v>31</v>
      </c>
      <c r="P30" s="2"/>
      <c r="Q30" s="2"/>
      <c r="R30" s="2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/>
      <c r="X30" s="2" t="s">
        <v>3</v>
      </c>
      <c r="AA30" s="2" t="str">
        <f t="shared" si="0"/>
        <v/>
      </c>
      <c r="AB30" s="2" t="str">
        <f t="shared" si="1"/>
        <v>Tam</v>
      </c>
      <c r="AC30" s="2" t="str">
        <f t="shared" si="2"/>
        <v/>
      </c>
      <c r="AD30" s="2" t="str">
        <f t="shared" si="3"/>
        <v>Hill (Kirk)</v>
      </c>
      <c r="AE30" s="2" t="str">
        <f t="shared" si="4"/>
        <v>Shaffiey</v>
      </c>
      <c r="AF30" s="2"/>
      <c r="AG30" s="2"/>
      <c r="AH30" s="2" t="s">
        <v>11</v>
      </c>
      <c r="AI30" s="2"/>
      <c r="AJ30" s="2" t="s">
        <v>11</v>
      </c>
      <c r="AK30" s="2" t="s">
        <v>11</v>
      </c>
    </row>
    <row r="31" spans="1:37" x14ac:dyDescent="0.4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2"/>
      <c r="L31" s="3"/>
      <c r="M31" s="2"/>
      <c r="N31" s="2" t="s">
        <v>2</v>
      </c>
      <c r="O31" s="2"/>
      <c r="P31" s="2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/>
      <c r="X31" s="2" t="s">
        <v>11</v>
      </c>
      <c r="AA31" s="2" t="str">
        <f t="shared" si="0"/>
        <v>Handzel</v>
      </c>
      <c r="AB31" s="2" t="str">
        <f t="shared" si="1"/>
        <v/>
      </c>
      <c r="AC31" s="2" t="str">
        <f t="shared" si="2"/>
        <v/>
      </c>
      <c r="AD31" s="2" t="str">
        <f t="shared" si="3"/>
        <v/>
      </c>
      <c r="AE31" s="2" t="str">
        <f t="shared" si="4"/>
        <v>NEEDS COVERAGE</v>
      </c>
      <c r="AF31" s="2"/>
      <c r="AG31" s="2" t="s">
        <v>11</v>
      </c>
      <c r="AH31" s="2"/>
      <c r="AI31" s="2"/>
      <c r="AJ31" s="2"/>
      <c r="AK31" s="2" t="s">
        <v>11</v>
      </c>
    </row>
    <row r="32" spans="1:37" x14ac:dyDescent="0.4">
      <c r="B32" s="19"/>
      <c r="C32" s="2"/>
      <c r="D32" s="2"/>
      <c r="E32" s="2"/>
      <c r="F32" s="2"/>
      <c r="G32" s="2"/>
      <c r="H32" s="2"/>
      <c r="I32" s="2"/>
      <c r="J32" s="2"/>
      <c r="K32" s="2"/>
      <c r="L32" s="3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2" t="str">
        <f t="shared" ref="AA32" si="5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6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7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8">IF(ISBLANK(AJ32),"",IF(COUNTIF($C32:$V32,AD$1)&lt;1,"NEEDS COVERAGE",IF(COUNTIF($C32:$V32,AD$1)&gt;1,"ERROR",IF(ISNA(INDEX($C$1:$V$1,MATCH(AD$1,$C32:$V32,0))),"",INDEX($C$1:$V$1,MATCH(AD$1,$C32:$V32,0))))))</f>
        <v/>
      </c>
      <c r="AE32" s="2" t="str">
        <f t="shared" ref="AE32" si="9">IF(ISBLANK(AK32),"",IF(COUNTIF($C32:$V32,AE$1)&lt;1,"NEEDS COVERAGE",IF(COUNTIF($C32:$V32,AE$1)&gt;1,"ERROR",IF(ISNA(INDEX($C$1:$V$1,MATCH(AE$1,$C32:$V32,0))),"",INDEX($C$1:$V$1,MATCH(AE$1,$C32:$V32,0))))))</f>
        <v/>
      </c>
      <c r="AF32" s="2"/>
      <c r="AG32" s="2"/>
      <c r="AH32" s="2"/>
      <c r="AI32" s="2"/>
      <c r="AJ32" s="2"/>
      <c r="AK32" s="2"/>
    </row>
    <row r="33" spans="1:37" x14ac:dyDescent="0.4">
      <c r="B33" s="19"/>
      <c r="C33" s="2"/>
      <c r="D33" s="2"/>
      <c r="E33" s="2"/>
      <c r="F33" s="2"/>
      <c r="G33" s="2"/>
      <c r="H33" s="2"/>
      <c r="I33" s="2"/>
      <c r="J33" s="2"/>
      <c r="K33" s="2"/>
      <c r="L33" s="3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7"/>
      <c r="AB33" s="7"/>
      <c r="AC33" s="7"/>
      <c r="AD33" s="7"/>
      <c r="AE33" s="7"/>
      <c r="AF33" s="7"/>
      <c r="AG33" s="2"/>
      <c r="AH33" s="2"/>
      <c r="AI33" s="2"/>
      <c r="AJ33" s="2"/>
      <c r="AK33" s="2"/>
    </row>
    <row r="34" spans="1:37" x14ac:dyDescent="0.4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22" t="s">
        <v>55</v>
      </c>
      <c r="M34" s="8" t="s">
        <v>53</v>
      </c>
      <c r="N34" s="8" t="s">
        <v>40</v>
      </c>
      <c r="O34" s="8" t="s">
        <v>43</v>
      </c>
      <c r="P34" s="8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/>
      <c r="X34" s="8" t="s">
        <v>54</v>
      </c>
      <c r="AA34" s="7"/>
      <c r="AB34" s="5"/>
      <c r="AC34" s="7"/>
      <c r="AD34" s="7"/>
      <c r="AE34" s="7"/>
      <c r="AF34" s="7"/>
      <c r="AG34" s="2">
        <f>COUNTIF(AG2:AG32,"x")</f>
        <v>17</v>
      </c>
      <c r="AH34" s="2">
        <f>COUNTIF(AH2:AH31,"x")</f>
        <v>21</v>
      </c>
      <c r="AI34" s="2">
        <f>COUNTIF(AI2:AI31,"x")</f>
        <v>3</v>
      </c>
      <c r="AJ34" s="2">
        <f>COUNTIF(AJ2:AJ31,"x")</f>
        <v>12</v>
      </c>
      <c r="AK34" s="2">
        <f>COUNTIF(AK2:AK31,"x")</f>
        <v>30</v>
      </c>
    </row>
    <row r="35" spans="1:37" s="9" customFormat="1" x14ac:dyDescent="0.4">
      <c r="A35" s="2" t="s">
        <v>16</v>
      </c>
      <c r="B35" s="8"/>
      <c r="C35" s="2">
        <f t="shared" ref="C35:X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2">
        <f t="shared" si="10"/>
        <v>5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2">
        <f t="shared" si="10"/>
        <v>4</v>
      </c>
      <c r="L35" s="3">
        <f t="shared" si="10"/>
        <v>4</v>
      </c>
      <c r="M35" s="2">
        <f t="shared" si="10"/>
        <v>4</v>
      </c>
      <c r="N35" s="2">
        <f t="shared" si="10"/>
        <v>6</v>
      </c>
      <c r="O35" s="2">
        <f t="shared" si="10"/>
        <v>6</v>
      </c>
      <c r="P35" s="2">
        <f t="shared" si="10"/>
        <v>7</v>
      </c>
      <c r="Q35" s="2">
        <f t="shared" si="10"/>
        <v>6</v>
      </c>
      <c r="R35" s="2">
        <f t="shared" si="10"/>
        <v>7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/>
      <c r="X35" s="2">
        <f t="shared" si="10"/>
        <v>6</v>
      </c>
      <c r="Y35" s="4">
        <f>SUM(AG34:AJ34)</f>
        <v>53</v>
      </c>
      <c r="Z35" s="4">
        <f>SUM(G36:R36)</f>
        <v>50</v>
      </c>
      <c r="AA35" s="21"/>
      <c r="AB35" s="17"/>
      <c r="AC35" s="17"/>
      <c r="AD35" s="17"/>
      <c r="AE35" s="17"/>
      <c r="AF35" s="17"/>
    </row>
    <row r="36" spans="1:37" x14ac:dyDescent="0.4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10">
        <f>INT(RIGHT(G34))</f>
        <v>5</v>
      </c>
      <c r="H36" s="10">
        <f t="shared" ref="H36:X36" si="12">INT(RIGHT(H34))</f>
        <v>0</v>
      </c>
      <c r="I36" s="10">
        <f t="shared" si="12"/>
        <v>0</v>
      </c>
      <c r="J36" s="10">
        <f t="shared" si="12"/>
        <v>4</v>
      </c>
      <c r="K36" s="10">
        <f t="shared" si="12"/>
        <v>4</v>
      </c>
      <c r="L36" s="20">
        <f t="shared" si="12"/>
        <v>4</v>
      </c>
      <c r="M36" s="10">
        <f t="shared" si="12"/>
        <v>4</v>
      </c>
      <c r="N36" s="10">
        <f t="shared" si="12"/>
        <v>6</v>
      </c>
      <c r="O36" s="10">
        <f t="shared" si="12"/>
        <v>5</v>
      </c>
      <c r="P36" s="10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/>
      <c r="X36" s="10">
        <f t="shared" si="12"/>
        <v>5</v>
      </c>
      <c r="Y36" s="4">
        <f>SUM(H36:X36)</f>
        <v>55</v>
      </c>
    </row>
    <row r="37" spans="1:37" x14ac:dyDescent="0.4">
      <c r="A37" s="2" t="s">
        <v>61</v>
      </c>
      <c r="B37" s="10"/>
      <c r="C37" s="10">
        <f>C36-C35</f>
        <v>0</v>
      </c>
      <c r="D37" s="10">
        <f t="shared" ref="D37:X37" si="13">D36-D35</f>
        <v>0</v>
      </c>
      <c r="E37" s="10">
        <f t="shared" si="13"/>
        <v>0</v>
      </c>
      <c r="F37" s="10">
        <f t="shared" si="13"/>
        <v>0</v>
      </c>
      <c r="G37" s="10">
        <f t="shared" si="13"/>
        <v>0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10">
        <f t="shared" si="13"/>
        <v>0</v>
      </c>
      <c r="L37" s="20">
        <f t="shared" si="13"/>
        <v>0</v>
      </c>
      <c r="M37" s="10">
        <f t="shared" si="13"/>
        <v>0</v>
      </c>
      <c r="N37" s="10">
        <f t="shared" si="13"/>
        <v>0</v>
      </c>
      <c r="O37" s="10">
        <f t="shared" si="13"/>
        <v>-1</v>
      </c>
      <c r="P37" s="10">
        <f t="shared" si="13"/>
        <v>-1</v>
      </c>
      <c r="Q37" s="10">
        <f t="shared" si="13"/>
        <v>0</v>
      </c>
      <c r="R37" s="10">
        <f t="shared" si="13"/>
        <v>-1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/>
      <c r="X37" s="10">
        <f t="shared" si="13"/>
        <v>-1</v>
      </c>
    </row>
    <row r="38" spans="1:37" x14ac:dyDescent="0.4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2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4">
        <f>SUM($AG$34:$AK$34)</f>
        <v>83</v>
      </c>
    </row>
    <row r="39" spans="1:37" x14ac:dyDescent="0.4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10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10">
        <f t="shared" si="14"/>
        <v>2</v>
      </c>
      <c r="L39" s="20">
        <f t="shared" si="14"/>
        <v>1</v>
      </c>
      <c r="M39" s="10">
        <f t="shared" si="14"/>
        <v>1</v>
      </c>
      <c r="N39" s="10">
        <f t="shared" si="14"/>
        <v>1</v>
      </c>
      <c r="O39" s="10">
        <f t="shared" si="14"/>
        <v>2</v>
      </c>
      <c r="P39" s="10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/>
      <c r="X39" s="10">
        <f t="shared" ref="X39:X43" si="16">COUNTIF(X$2:X$32,$A39)</f>
        <v>1</v>
      </c>
    </row>
    <row r="40" spans="1:37" x14ac:dyDescent="0.4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10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10">
        <f t="shared" si="15"/>
        <v>0</v>
      </c>
      <c r="L40" s="20">
        <f t="shared" si="15"/>
        <v>1</v>
      </c>
      <c r="M40" s="10">
        <f t="shared" si="15"/>
        <v>0</v>
      </c>
      <c r="N40" s="10">
        <f t="shared" si="15"/>
        <v>0</v>
      </c>
      <c r="O40" s="10">
        <f t="shared" si="15"/>
        <v>0</v>
      </c>
      <c r="P40" s="10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/>
      <c r="X40" s="10">
        <f t="shared" si="16"/>
        <v>0</v>
      </c>
    </row>
    <row r="41" spans="1:37" x14ac:dyDescent="0.4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10">
        <f t="shared" si="15"/>
        <v>1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10">
        <f t="shared" si="15"/>
        <v>0</v>
      </c>
      <c r="L41" s="20">
        <f t="shared" si="15"/>
        <v>1</v>
      </c>
      <c r="M41" s="10">
        <f t="shared" si="15"/>
        <v>1</v>
      </c>
      <c r="N41" s="10">
        <f t="shared" si="15"/>
        <v>1</v>
      </c>
      <c r="O41" s="10">
        <f t="shared" si="15"/>
        <v>1</v>
      </c>
      <c r="P41" s="10">
        <f t="shared" si="15"/>
        <v>3</v>
      </c>
      <c r="Q41" s="10">
        <f t="shared" si="15"/>
        <v>2</v>
      </c>
      <c r="R41" s="10">
        <f t="shared" si="15"/>
        <v>2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/>
      <c r="X41" s="10">
        <f t="shared" si="16"/>
        <v>0</v>
      </c>
    </row>
    <row r="42" spans="1:37" x14ac:dyDescent="0.4">
      <c r="A42" s="2" t="s">
        <v>35</v>
      </c>
      <c r="B42" s="10"/>
      <c r="C42" s="10">
        <f>COUNTIF(C$2:C$32,$A42)</f>
        <v>0</v>
      </c>
      <c r="D42" s="10">
        <f t="shared" si="15"/>
        <v>0</v>
      </c>
      <c r="E42" s="10">
        <f t="shared" si="15"/>
        <v>0</v>
      </c>
      <c r="F42" s="10">
        <f t="shared" si="15"/>
        <v>0</v>
      </c>
      <c r="G42" s="10">
        <f t="shared" si="15"/>
        <v>2</v>
      </c>
      <c r="H42" s="10">
        <f t="shared" si="15"/>
        <v>0</v>
      </c>
      <c r="I42" s="10">
        <f t="shared" si="15"/>
        <v>0</v>
      </c>
      <c r="J42" s="10">
        <f t="shared" si="15"/>
        <v>1</v>
      </c>
      <c r="K42" s="10">
        <f t="shared" si="15"/>
        <v>2</v>
      </c>
      <c r="L42" s="20">
        <f t="shared" si="15"/>
        <v>1</v>
      </c>
      <c r="M42" s="10">
        <f t="shared" si="15"/>
        <v>2</v>
      </c>
      <c r="N42" s="10">
        <f t="shared" si="15"/>
        <v>4</v>
      </c>
      <c r="O42" s="10">
        <f t="shared" si="15"/>
        <v>2</v>
      </c>
      <c r="P42" s="10">
        <f t="shared" si="15"/>
        <v>2</v>
      </c>
      <c r="Q42" s="10">
        <f t="shared" si="15"/>
        <v>2</v>
      </c>
      <c r="R42" s="10">
        <f t="shared" si="15"/>
        <v>3</v>
      </c>
      <c r="S42" s="10">
        <f t="shared" si="15"/>
        <v>0</v>
      </c>
      <c r="T42" s="10">
        <f t="shared" si="15"/>
        <v>0</v>
      </c>
      <c r="U42" s="10">
        <f t="shared" si="15"/>
        <v>0</v>
      </c>
      <c r="V42" s="10">
        <f t="shared" si="15"/>
        <v>0</v>
      </c>
      <c r="W42" s="10"/>
      <c r="X42" s="10">
        <f t="shared" si="16"/>
        <v>0</v>
      </c>
    </row>
    <row r="43" spans="1:37" x14ac:dyDescent="0.4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10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10">
        <f t="shared" si="15"/>
        <v>0</v>
      </c>
      <c r="L43" s="20">
        <f t="shared" si="15"/>
        <v>0</v>
      </c>
      <c r="M43" s="10">
        <f t="shared" si="15"/>
        <v>0</v>
      </c>
      <c r="N43" s="10">
        <f t="shared" si="15"/>
        <v>0</v>
      </c>
      <c r="O43" s="10">
        <f t="shared" si="15"/>
        <v>1</v>
      </c>
      <c r="P43" s="10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/>
      <c r="X43" s="10">
        <f t="shared" si="16"/>
        <v>5</v>
      </c>
    </row>
    <row r="44" spans="1:37" x14ac:dyDescent="0.4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2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2">
        <f t="shared" si="17"/>
        <v>1</v>
      </c>
      <c r="L44" s="3">
        <f t="shared" si="17"/>
        <v>0</v>
      </c>
      <c r="M44" s="2">
        <f t="shared" si="17"/>
        <v>1</v>
      </c>
      <c r="N44" s="2">
        <f t="shared" si="17"/>
        <v>1</v>
      </c>
      <c r="O44" s="2">
        <f t="shared" si="17"/>
        <v>1</v>
      </c>
      <c r="P44" s="2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/>
      <c r="X44" s="2">
        <f t="shared" ref="X44" si="18">COUNTIFS(X1:X31,"Trauma",$A1:$A31,$A44)+COUNTIFS(X1:X31,"CHP*",$A1:$A31,$A44)+COUNTIFS(X1:X31,"SHY",$A1:$A31,$A44)+COUNTIFS(X1:X31,"CT",$A1:$A31,$A44)</f>
        <v>0</v>
      </c>
    </row>
    <row r="45" spans="1:37" x14ac:dyDescent="0.4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2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2">
        <f t="shared" si="19"/>
        <v>0</v>
      </c>
      <c r="L45" s="3">
        <f t="shared" si="19"/>
        <v>0</v>
      </c>
      <c r="M45" s="2">
        <f t="shared" si="19"/>
        <v>0</v>
      </c>
      <c r="N45" s="2">
        <f t="shared" si="19"/>
        <v>0</v>
      </c>
      <c r="O45" s="2">
        <f t="shared" si="19"/>
        <v>0</v>
      </c>
      <c r="P45" s="2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/>
      <c r="X45" s="2">
        <f t="shared" ref="X45" si="20">COUNTIFS(X2:X32,"Trauma",$A2:$A32,$A45)+COUNTIFS(X2:X32,"CHP*",$A2:$A32,$A45)+COUNTIFS(X2:X32,"SHY",$A2:$A32,$A45)+COUNTIFS(X2:X32,"CT",$A2:$A32,$A45)</f>
        <v>0</v>
      </c>
    </row>
    <row r="46" spans="1:37" x14ac:dyDescent="0.4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2">
        <f t="shared" si="21"/>
        <v>0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2">
        <f t="shared" si="21"/>
        <v>0</v>
      </c>
      <c r="L46" s="3">
        <f t="shared" si="21"/>
        <v>0</v>
      </c>
      <c r="M46" s="2">
        <f t="shared" si="21"/>
        <v>1</v>
      </c>
      <c r="N46" s="2">
        <f t="shared" si="21"/>
        <v>1</v>
      </c>
      <c r="O46" s="2">
        <f t="shared" si="21"/>
        <v>0</v>
      </c>
      <c r="P46" s="2">
        <f t="shared" si="21"/>
        <v>1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/>
      <c r="X46" s="2">
        <f t="shared" ref="X46" si="22">COUNTIFS(X3:X33,"Trauma",$A3:$A33,$A46)+COUNTIFS(X3:X33,"CHP*",$A3:$A33,$A46)+COUNTIFS(X3:X33,"SHY",$A3:$A33,$A46)+COUNTIFS(X3:X33,"CT",$A3:$A33,$A46)</f>
        <v>0</v>
      </c>
    </row>
    <row r="47" spans="1:37" x14ac:dyDescent="0.4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2">
        <f t="shared" si="23"/>
        <v>0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2">
        <f t="shared" si="23"/>
        <v>1</v>
      </c>
      <c r="L47" s="3">
        <f t="shared" si="23"/>
        <v>0</v>
      </c>
      <c r="M47" s="2">
        <f t="shared" si="23"/>
        <v>2</v>
      </c>
      <c r="N47" s="2">
        <f t="shared" si="23"/>
        <v>2</v>
      </c>
      <c r="O47" s="2">
        <f t="shared" si="23"/>
        <v>1</v>
      </c>
      <c r="P47" s="2">
        <f t="shared" si="23"/>
        <v>4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/>
      <c r="X47" s="2">
        <f t="shared" ref="X47" si="24">SUM(X44:X46)</f>
        <v>0</v>
      </c>
    </row>
    <row r="48" spans="1:37" x14ac:dyDescent="0.4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23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/>
      <c r="X48" s="12">
        <f>SUMPRODUCT(COUNTIFS($A$2:$A$32,{"Fri";"Sat";"Sun"},X$2:X$32,"x"))/$B48</f>
        <v>1</v>
      </c>
    </row>
    <row r="49" spans="1:24" x14ac:dyDescent="0.4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12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12">
        <f t="shared" si="25"/>
        <v>0.53333333333333333</v>
      </c>
      <c r="L49" s="23">
        <f t="shared" si="25"/>
        <v>0.43333333333333335</v>
      </c>
      <c r="M49" s="12">
        <f t="shared" si="25"/>
        <v>0.1</v>
      </c>
      <c r="N49" s="12">
        <f t="shared" si="25"/>
        <v>0.53333333333333333</v>
      </c>
      <c r="O49" s="12">
        <f t="shared" si="25"/>
        <v>0.26666666666666666</v>
      </c>
      <c r="P49" s="12">
        <f t="shared" si="25"/>
        <v>6.6666666666666666E-2</v>
      </c>
      <c r="Q49" s="12">
        <f t="shared" si="25"/>
        <v>0.26666666666666666</v>
      </c>
      <c r="R49" s="12">
        <f t="shared" si="25"/>
        <v>0.56666666666666665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X49" si="26">COUNTIF(V$2:V$32,"x")/$B49</f>
        <v>0.7</v>
      </c>
      <c r="W49" s="12"/>
      <c r="X49" s="12">
        <f t="shared" si="26"/>
        <v>0.76666666666666672</v>
      </c>
    </row>
    <row r="50" spans="1:24" x14ac:dyDescent="0.4">
      <c r="A50" s="4"/>
      <c r="B50" s="13"/>
      <c r="D50" s="13"/>
      <c r="E50" s="13"/>
      <c r="F50" s="13"/>
      <c r="G50" s="13"/>
      <c r="H50" s="13"/>
      <c r="I50" s="13"/>
      <c r="J50" s="13"/>
      <c r="K50" s="13"/>
      <c r="L50" s="24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</row>
    <row r="51" spans="1:24" x14ac:dyDescent="0.4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13"/>
      <c r="L51" s="24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</row>
    <row r="52" spans="1:24" x14ac:dyDescent="0.4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13"/>
      <c r="L52" s="24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</row>
    <row r="53" spans="1:24" x14ac:dyDescent="0.4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13"/>
      <c r="L53" s="24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</row>
    <row r="54" spans="1:24" x14ac:dyDescent="0.4">
      <c r="C54" s="4" t="s">
        <v>56</v>
      </c>
    </row>
    <row r="55" spans="1:24" x14ac:dyDescent="0.4">
      <c r="C55" s="4" t="s">
        <v>57</v>
      </c>
    </row>
    <row r="57" spans="1:24" x14ac:dyDescent="0.4">
      <c r="F57" s="9"/>
      <c r="G57" s="9"/>
    </row>
  </sheetData>
  <conditionalFormatting sqref="P8:R8 U3:U9 U12:U33 T3:T33 C31:S32 G4:G30 C2:F30 J23:S30 J4:R7 J8:N8 J9:R22 S2:S22 H2:I30 U10:V11 T2:V2 V2:X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I1:AJ1048576 AC1:AD1048576">
    <cfRule type="notContainsBlanks" dxfId="30" priority="95">
      <formula>LEN(TRIM(AC1))&gt;0</formula>
    </cfRule>
  </conditionalFormatting>
  <conditionalFormatting sqref="U12:U33 C32:S32 T32:T33 C31:T31 G4:G30 C2:F30 J23:T30 J4:R22 T3:T22 S2:S22 H2:I30 X2:X32 T2:W2 U3:W11 V12:W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H1:AH1048576 AB1:AB1048576">
    <cfRule type="notContainsBlanks" dxfId="17" priority="30">
      <formula>LEN(TRIM(AB1))&gt;0</formula>
    </cfRule>
  </conditionalFormatting>
  <conditionalFormatting sqref="AK1:AK1048576 AE1:AF1048576">
    <cfRule type="notContainsBlanks" dxfId="16" priority="29">
      <formula>LEN(TRIM(AE1))&gt;0</formula>
    </cfRule>
  </conditionalFormatting>
  <conditionalFormatting sqref="AG1:AG1048576 AA1:AA1048576">
    <cfRule type="notContainsBlanks" dxfId="15" priority="26">
      <formula>LEN(TRIM(AA1))&gt;0</formula>
    </cfRule>
  </conditionalFormatting>
  <conditionalFormatting sqref="AB2:AF32">
    <cfRule type="notContainsBlanks" dxfId="14" priority="96">
      <formula>LEN(TRIM(AB2))&gt;0</formula>
    </cfRule>
  </conditionalFormatting>
  <conditionalFormatting sqref="C47:X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X2:X32 T2:W2 U3:W11 V12:W32">
    <cfRule type="containsText" dxfId="11" priority="91" stopIfTrue="1" operator="containsText" text="Trauma">
      <formula>NOT(ISERROR(SEARCH("Trauma",C2)))</formula>
    </cfRule>
  </conditionalFormatting>
  <conditionalFormatting sqref="A39:X39">
    <cfRule type="expression" dxfId="10" priority="16">
      <formula>$A39="Trauma"</formula>
    </cfRule>
  </conditionalFormatting>
  <conditionalFormatting sqref="A40:X40">
    <cfRule type="expression" dxfId="9" priority="14">
      <formula>$A$40="CHP Sr."</formula>
    </cfRule>
  </conditionalFormatting>
  <conditionalFormatting sqref="A41:X41">
    <cfRule type="expression" dxfId="8" priority="12">
      <formula>$A$41="CHP Jr."</formula>
    </cfRule>
  </conditionalFormatting>
  <conditionalFormatting sqref="A46:X46">
    <cfRule type="expression" dxfId="7" priority="8">
      <formula>$A$46="Sun"</formula>
    </cfRule>
  </conditionalFormatting>
  <conditionalFormatting sqref="A42:X42">
    <cfRule type="expression" dxfId="6" priority="7">
      <formula>$A$42="SHY"</formula>
    </cfRule>
  </conditionalFormatting>
  <conditionalFormatting sqref="A43:X43">
    <cfRule type="expression" dxfId="5" priority="6">
      <formula>$A$43="CT"</formula>
    </cfRule>
  </conditionalFormatting>
  <conditionalFormatting sqref="A44:X44">
    <cfRule type="expression" dxfId="4" priority="5">
      <formula>$A$44="Fri"</formula>
    </cfRule>
  </conditionalFormatting>
  <conditionalFormatting sqref="A45:X45">
    <cfRule type="expression" dxfId="3" priority="4">
      <formula>$A$45="Sat"</formula>
    </cfRule>
  </conditionalFormatting>
  <conditionalFormatting sqref="AA2:AE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2017-06-06T21:15:48Z</dcterms:modified>
</cp:coreProperties>
</file>