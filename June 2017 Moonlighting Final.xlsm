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SL7WYrBFiaervskavBT7dtkIXe8LYn7D6WQcBu4LMS+DUeePp/b47fe5KFDcLpaR8AS/amomernVO/C729G1UQ==" workbookSaltValue="67yMmRmT9pzTX0TvQDZMfw==" workbookSpinCount="100000" lockStructure="1"/>
  <bookViews>
    <workbookView xWindow="0" yWindow="0" windowWidth="15615" windowHeight="3630"/>
  </bookViews>
  <sheets>
    <sheet name="June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C36" i="3" l="1"/>
  <c r="D36" i="3"/>
  <c r="E36" i="3"/>
  <c r="F36" i="3"/>
  <c r="AA12" i="3"/>
  <c r="Z3" i="3"/>
  <c r="AA3" i="3"/>
  <c r="AB3" i="3"/>
  <c r="AC3" i="3"/>
  <c r="AD3" i="3"/>
  <c r="Z4" i="3"/>
  <c r="AA4" i="3"/>
  <c r="AB4" i="3"/>
  <c r="AC4" i="3"/>
  <c r="AD4" i="3"/>
  <c r="Z5" i="3"/>
  <c r="AA5" i="3"/>
  <c r="AB5" i="3"/>
  <c r="AC5" i="3"/>
  <c r="AD5" i="3"/>
  <c r="Z6" i="3"/>
  <c r="AA6" i="3"/>
  <c r="AB6" i="3"/>
  <c r="AC6" i="3"/>
  <c r="AD6" i="3"/>
  <c r="Z7" i="3"/>
  <c r="AA7" i="3"/>
  <c r="AB7" i="3"/>
  <c r="AC7" i="3"/>
  <c r="AD7" i="3"/>
  <c r="Z8" i="3"/>
  <c r="AA8" i="3"/>
  <c r="AB8" i="3"/>
  <c r="AC8" i="3"/>
  <c r="AD8" i="3"/>
  <c r="Z9" i="3"/>
  <c r="AA9" i="3"/>
  <c r="AB9" i="3"/>
  <c r="AC9" i="3"/>
  <c r="AD9" i="3"/>
  <c r="Z10" i="3"/>
  <c r="AA10" i="3"/>
  <c r="AB10" i="3"/>
  <c r="AC10" i="3"/>
  <c r="AD10" i="3"/>
  <c r="Z11" i="3"/>
  <c r="AA11" i="3"/>
  <c r="AB11" i="3"/>
  <c r="AC11" i="3"/>
  <c r="AD11" i="3"/>
  <c r="Z12" i="3"/>
  <c r="AB12" i="3"/>
  <c r="AC12" i="3"/>
  <c r="AD12" i="3"/>
  <c r="Z13" i="3"/>
  <c r="AA13" i="3"/>
  <c r="AB13" i="3"/>
  <c r="AC13" i="3"/>
  <c r="AD13" i="3"/>
  <c r="Z14" i="3"/>
  <c r="AA14" i="3"/>
  <c r="AB14" i="3"/>
  <c r="AC14" i="3"/>
  <c r="AD14" i="3"/>
  <c r="Z15" i="3"/>
  <c r="AA15" i="3"/>
  <c r="AB15" i="3"/>
  <c r="AC15" i="3"/>
  <c r="AD15" i="3"/>
  <c r="Z16" i="3"/>
  <c r="AA16" i="3"/>
  <c r="AB16" i="3"/>
  <c r="AC16" i="3"/>
  <c r="AD16" i="3"/>
  <c r="Z17" i="3"/>
  <c r="AA17" i="3"/>
  <c r="AB17" i="3"/>
  <c r="AC17" i="3"/>
  <c r="AD17" i="3"/>
  <c r="Z18" i="3"/>
  <c r="AA18" i="3"/>
  <c r="AB18" i="3"/>
  <c r="AC18" i="3"/>
  <c r="AD18" i="3"/>
  <c r="Z19" i="3"/>
  <c r="AA19" i="3"/>
  <c r="AB19" i="3"/>
  <c r="AC19" i="3"/>
  <c r="AD19" i="3"/>
  <c r="Z20" i="3"/>
  <c r="AA20" i="3"/>
  <c r="AB20" i="3"/>
  <c r="AC20" i="3"/>
  <c r="AD20" i="3"/>
  <c r="Z21" i="3"/>
  <c r="AA21" i="3"/>
  <c r="AB21" i="3"/>
  <c r="AC21" i="3"/>
  <c r="AD21" i="3"/>
  <c r="Z22" i="3"/>
  <c r="AA22" i="3"/>
  <c r="AB22" i="3"/>
  <c r="AC22" i="3"/>
  <c r="AD22" i="3"/>
  <c r="Z23" i="3"/>
  <c r="AA23" i="3"/>
  <c r="AB23" i="3"/>
  <c r="AC23" i="3"/>
  <c r="AD23" i="3"/>
  <c r="Z24" i="3"/>
  <c r="AA24" i="3"/>
  <c r="AB24" i="3"/>
  <c r="AC24" i="3"/>
  <c r="AD24" i="3"/>
  <c r="Z25" i="3"/>
  <c r="AA25" i="3"/>
  <c r="AB25" i="3"/>
  <c r="AC25" i="3"/>
  <c r="AD25" i="3"/>
  <c r="Z26" i="3"/>
  <c r="AA26" i="3"/>
  <c r="AB26" i="3"/>
  <c r="AC26" i="3"/>
  <c r="AD26" i="3"/>
  <c r="Z27" i="3"/>
  <c r="AA27" i="3"/>
  <c r="AB27" i="3"/>
  <c r="AC27" i="3"/>
  <c r="AD27" i="3"/>
  <c r="Z28" i="3"/>
  <c r="AA28" i="3"/>
  <c r="AB28" i="3"/>
  <c r="AC28" i="3"/>
  <c r="AD28" i="3"/>
  <c r="Z29" i="3"/>
  <c r="AA29" i="3"/>
  <c r="AB29" i="3"/>
  <c r="AC29" i="3"/>
  <c r="AD29" i="3"/>
  <c r="Z30" i="3"/>
  <c r="AA30" i="3"/>
  <c r="AB30" i="3"/>
  <c r="AC30" i="3"/>
  <c r="AD30" i="3"/>
  <c r="Z31" i="3"/>
  <c r="AA31" i="3"/>
  <c r="AB31" i="3"/>
  <c r="AC31" i="3"/>
  <c r="AD31" i="3"/>
  <c r="AD2" i="3"/>
  <c r="AC2" i="3"/>
  <c r="AB2" i="3"/>
  <c r="AA2" i="3"/>
  <c r="Z2" i="3"/>
  <c r="W36" i="3"/>
  <c r="W39" i="3" l="1"/>
  <c r="W40" i="3"/>
  <c r="W41" i="3"/>
  <c r="W42" i="3"/>
  <c r="W43" i="3"/>
  <c r="W44" i="3"/>
  <c r="W45" i="3"/>
  <c r="W46" i="3"/>
  <c r="W35" i="3"/>
  <c r="W1" i="5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47" i="3" l="1"/>
  <c r="W35" i="5"/>
  <c r="W37" i="3"/>
  <c r="Z1" i="5" l="1"/>
  <c r="AA1" i="5"/>
  <c r="AB1" i="5"/>
  <c r="AC1" i="5"/>
  <c r="Z33" i="5"/>
  <c r="AA33" i="5"/>
  <c r="AB33" i="5"/>
  <c r="AC33" i="5"/>
  <c r="Z34" i="5"/>
  <c r="AA34" i="5"/>
  <c r="AB34" i="5"/>
  <c r="AC34" i="5"/>
  <c r="Z35" i="5"/>
  <c r="AA35" i="5"/>
  <c r="AB35" i="5"/>
  <c r="AC35" i="5"/>
  <c r="Y1" i="5"/>
  <c r="Y33" i="5"/>
  <c r="Y34" i="5"/>
  <c r="Y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C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J34" i="3"/>
  <c r="AI34" i="3"/>
  <c r="AH34" i="3"/>
  <c r="AG34" i="3"/>
  <c r="AF34" i="3"/>
  <c r="Y35" i="3" l="1"/>
  <c r="X35" i="3"/>
  <c r="X38" i="3"/>
  <c r="X36" i="3"/>
  <c r="B49" i="3"/>
  <c r="B48" i="3"/>
  <c r="E49" i="3" l="1"/>
  <c r="V49" i="3"/>
  <c r="W49" i="3"/>
  <c r="C48" i="3"/>
  <c r="W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Z2" i="5"/>
  <c r="AA2" i="5"/>
  <c r="AB2" i="5"/>
  <c r="AC2" i="5"/>
  <c r="Z3" i="5"/>
  <c r="AA3" i="5"/>
  <c r="AB3" i="5"/>
  <c r="AC3" i="5"/>
  <c r="Z4" i="5"/>
  <c r="AA4" i="5"/>
  <c r="AB4" i="5"/>
  <c r="AC4" i="5"/>
  <c r="Z5" i="5"/>
  <c r="AA5" i="5"/>
  <c r="AB5" i="5"/>
  <c r="AC5" i="5"/>
  <c r="Z6" i="5"/>
  <c r="AA6" i="5"/>
  <c r="AB6" i="5"/>
  <c r="AC6" i="5"/>
  <c r="Z7" i="5"/>
  <c r="AA7" i="5"/>
  <c r="AB7" i="5"/>
  <c r="AC7" i="5"/>
  <c r="Z8" i="5"/>
  <c r="AA8" i="5"/>
  <c r="AB8" i="5"/>
  <c r="AC8" i="5"/>
  <c r="Z9" i="5"/>
  <c r="AA9" i="5"/>
  <c r="AB9" i="5"/>
  <c r="AC9" i="5"/>
  <c r="Z10" i="5"/>
  <c r="AA10" i="5"/>
  <c r="AB10" i="5"/>
  <c r="AC10" i="5"/>
  <c r="Z11" i="5"/>
  <c r="AA11" i="5"/>
  <c r="AB11" i="5"/>
  <c r="AC11" i="5"/>
  <c r="Z12" i="5"/>
  <c r="AA12" i="5"/>
  <c r="AB12" i="5"/>
  <c r="AC12" i="5"/>
  <c r="Z13" i="5"/>
  <c r="AA13" i="5"/>
  <c r="AB13" i="5"/>
  <c r="AC13" i="5"/>
  <c r="Z14" i="5"/>
  <c r="AA14" i="5"/>
  <c r="AB14" i="5"/>
  <c r="AC14" i="5"/>
  <c r="Z15" i="5"/>
  <c r="AA15" i="5"/>
  <c r="AB15" i="5"/>
  <c r="AC15" i="5"/>
  <c r="Z16" i="5"/>
  <c r="AA16" i="5"/>
  <c r="AB16" i="5"/>
  <c r="AC16" i="5"/>
  <c r="Z17" i="5"/>
  <c r="AA17" i="5"/>
  <c r="AB17" i="5"/>
  <c r="AC17" i="5"/>
  <c r="Z18" i="5"/>
  <c r="AA18" i="5"/>
  <c r="AB18" i="5"/>
  <c r="AC18" i="5"/>
  <c r="Z19" i="5"/>
  <c r="AA19" i="5"/>
  <c r="AB19" i="5"/>
  <c r="AC19" i="5"/>
  <c r="Z20" i="5"/>
  <c r="AA20" i="5"/>
  <c r="AB20" i="5"/>
  <c r="AC20" i="5"/>
  <c r="Z21" i="5"/>
  <c r="AA21" i="5"/>
  <c r="AB21" i="5"/>
  <c r="AC21" i="5"/>
  <c r="Z22" i="5"/>
  <c r="AA22" i="5"/>
  <c r="AB22" i="5"/>
  <c r="AC22" i="5"/>
  <c r="Z23" i="5"/>
  <c r="AA23" i="5"/>
  <c r="AB23" i="5"/>
  <c r="AC23" i="5"/>
  <c r="Z24" i="5"/>
  <c r="AA24" i="5"/>
  <c r="AB24" i="5"/>
  <c r="AC24" i="5"/>
  <c r="Z25" i="5"/>
  <c r="AA25" i="5"/>
  <c r="AB25" i="5"/>
  <c r="AC25" i="5"/>
  <c r="Z26" i="5"/>
  <c r="AA26" i="5"/>
  <c r="AB26" i="5"/>
  <c r="AC26" i="5"/>
  <c r="Z27" i="5"/>
  <c r="AA27" i="5"/>
  <c r="AB27" i="5"/>
  <c r="AC27" i="5"/>
  <c r="Z28" i="5"/>
  <c r="AA28" i="5"/>
  <c r="AB28" i="5"/>
  <c r="AC28" i="5"/>
  <c r="Z29" i="5"/>
  <c r="AA29" i="5"/>
  <c r="AB29" i="5"/>
  <c r="AC29" i="5"/>
  <c r="Z30" i="5"/>
  <c r="AA30" i="5"/>
  <c r="AB30" i="5"/>
  <c r="AC30" i="5"/>
  <c r="Z31" i="5"/>
  <c r="AA31" i="5"/>
  <c r="AB31" i="5"/>
  <c r="AA32" i="3"/>
  <c r="Z32" i="5" s="1"/>
  <c r="AB32" i="3"/>
  <c r="AA32" i="5" s="1"/>
  <c r="AC32" i="3"/>
  <c r="AB32" i="5" s="1"/>
  <c r="AD32" i="3"/>
  <c r="AC32" i="5" s="1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Z32" i="3"/>
  <c r="Y32" i="5" s="1"/>
  <c r="Y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<sst xmlns="http://schemas.openxmlformats.org/spreadsheetml/2006/main" count="669" uniqueCount="62">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</sst>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8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5"/>
  <sheetViews>
    <sheetView tabSelected="1" zoomScale="70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30" sqref="R30"/>
    </sheetView>
  </sheetViews>
  <sheetFormatPr defaultColWidth="9.28515625" defaultRowHeight="15" x14ac:dyDescent="0.25"/>
  <cols>
    <col min="1" max="1" width="11" style="14" customWidth="1"/>
    <col min="2" max="2" width="5.5703125" style="14" bestFit="1" customWidth="1"/>
    <col min="3" max="3" width="12.5703125" style="14" bestFit="1" customWidth="1"/>
    <col min="4" max="4" width="7.42578125" style="14" bestFit="1" customWidth="1"/>
    <col min="5" max="5" width="6.42578125" style="14" bestFit="1" customWidth="1"/>
    <col min="6" max="6" width="7.140625" style="14" bestFit="1" customWidth="1"/>
    <col min="7" max="7" width="8" style="14" bestFit="1" customWidth="1"/>
    <col min="8" max="8" width="9.7109375" style="14" bestFit="1" customWidth="1"/>
    <col min="9" max="9" width="9.5703125" style="14" bestFit="1" customWidth="1"/>
    <col min="10" max="10" width="8" style="14" bestFit="1" customWidth="1"/>
    <col min="11" max="11" width="14.5703125" style="14" bestFit="1" customWidth="1"/>
    <col min="12" max="12" width="8" style="14" bestFit="1" customWidth="1"/>
    <col min="13" max="13" width="12.140625" style="14" bestFit="1" customWidth="1"/>
    <col min="14" max="14" width="8.7109375" style="14" bestFit="1" customWidth="1"/>
    <col min="15" max="15" width="9.7109375" style="14" bestFit="1" customWidth="1"/>
    <col min="16" max="18" width="8" style="14" bestFit="1" customWidth="1"/>
    <col min="19" max="19" width="9.7109375" style="14" bestFit="1" customWidth="1"/>
    <col min="20" max="20" width="8.5703125" style="14" bestFit="1" customWidth="1"/>
    <col min="21" max="21" width="5.7109375" style="14" bestFit="1" customWidth="1"/>
    <col min="22" max="22" width="12.85546875" style="14" bestFit="1" customWidth="1"/>
    <col min="23" max="23" width="8.5703125" style="14" bestFit="1" customWidth="1"/>
    <col min="24" max="24" width="8.5703125" style="14" customWidth="1"/>
    <col min="25" max="26" width="14.5703125" style="14" bestFit="1" customWidth="1"/>
    <col min="27" max="27" width="7.28515625" style="14" bestFit="1" customWidth="1"/>
    <col min="28" max="28" width="12.140625" style="14" bestFit="1" customWidth="1"/>
    <col min="29" max="29" width="16.85546875" style="14" bestFit="1" customWidth="1"/>
    <col min="30" max="16384" width="9.28515625" style="14"/>
  </cols>
  <sheetData>
    <row r="1" spans="1:29" x14ac:dyDescent="0.25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Shaffiey</v>
      </c>
      <c r="Y1" s="14" t="str">
        <f>IF(ISBLANK(Master!Z1),"",Master!Z1)</f>
        <v>Trauma</v>
      </c>
      <c r="Z1" s="14" t="str">
        <f>IF(ISBLANK(Master!AA1),"",Master!AA1)</f>
        <v>SHY</v>
      </c>
      <c r="AA1" s="14" t="str">
        <f>IF(ISBLANK(Master!AB1),"",Master!AB1)</f>
        <v>CHP Sr.</v>
      </c>
      <c r="AB1" s="14" t="str">
        <f>IF(ISBLANK(Master!AC1),"",Master!AC1)</f>
        <v>CHP Jr.</v>
      </c>
      <c r="AC1" s="14" t="str">
        <f>IF(ISBLANK(Master!AD1),"",Master!AD1)</f>
        <v>CT</v>
      </c>
    </row>
    <row r="2" spans="1:29" x14ac:dyDescent="0.25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>x</v>
      </c>
      <c r="Y2" s="14" t="str">
        <f>IF(ISBLANK(Master!Z2),"",Master!Z2)</f>
        <v/>
      </c>
      <c r="Z2" s="14" t="str">
        <f>IF(ISBLANK(Master!AA2),"",Master!AA2)</f>
        <v>Van Der Windt</v>
      </c>
      <c r="AA2" s="14" t="str">
        <f>IF(ISBLANK(Master!AB2),"",Master!AB2)</f>
        <v>Siow</v>
      </c>
      <c r="AB2" s="14" t="str">
        <f>IF(ISBLANK(Master!AC2),"",Master!AC2)</f>
        <v/>
      </c>
      <c r="AC2" s="14" t="str">
        <f>IF(ISBLANK(Master!AD2),"",Master!AD2)</f>
        <v>NEEDS COVERAGE</v>
      </c>
    </row>
    <row r="3" spans="1:29" x14ac:dyDescent="0.25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>x</v>
      </c>
      <c r="Y3" s="14" t="str">
        <f>IF(ISBLANK(Master!Z3),"",Master!Z3)</f>
        <v>Torres</v>
      </c>
      <c r="Z3" s="14" t="str">
        <f>IF(ISBLANK(Master!AA3),"",Master!AA3)</f>
        <v/>
      </c>
      <c r="AA3" s="14" t="str">
        <f>IF(ISBLANK(Master!AB3),"",Master!AB3)</f>
        <v/>
      </c>
      <c r="AB3" s="14" t="str">
        <f>IF(ISBLANK(Master!AC3),"",Master!AC3)</f>
        <v>Okolo</v>
      </c>
      <c r="AC3" s="14" t="str">
        <f>IF(ISBLANK(Master!AD3),"",Master!AD3)</f>
        <v>NEEDS COVERAGE</v>
      </c>
    </row>
    <row r="4" spans="1:29" x14ac:dyDescent="0.25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>x</v>
      </c>
      <c r="Y4" s="14" t="str">
        <f>IF(ISBLANK(Master!Z4),"",Master!Z4)</f>
        <v/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>NEEDS COVERAGE</v>
      </c>
    </row>
    <row r="5" spans="1:29" x14ac:dyDescent="0.25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>x</v>
      </c>
      <c r="Y5" s="14" t="str">
        <f>IF(ISBLANK(Master!Z5),"",Master!Z5)</f>
        <v/>
      </c>
      <c r="Z5" s="14" t="str">
        <f>IF(ISBLANK(Master!AA5),"",Master!AA5)</f>
        <v>Griepentrog</v>
      </c>
      <c r="AA5" s="14" t="str">
        <f>IF(ISBLANK(Master!AB5),"",Master!AB5)</f>
        <v/>
      </c>
      <c r="AB5" s="14" t="str">
        <f>IF(ISBLANK(Master!AC5),"",Master!AC5)</f>
        <v>Siow</v>
      </c>
      <c r="AC5" s="14" t="str">
        <f>IF(ISBLANK(Master!AD5),"",Master!AD5)</f>
        <v>NEEDS COVERAGE</v>
      </c>
    </row>
    <row r="6" spans="1:29" x14ac:dyDescent="0.25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>x</v>
      </c>
      <c r="Y6" s="14" t="str">
        <f>IF(ISBLANK(Master!Z6),"",Master!Z6)</f>
        <v>Torres</v>
      </c>
      <c r="Z6" s="14" t="str">
        <f>IF(ISBLANK(Master!AA6),"",Master!AA6)</f>
        <v>Hill (Kirk)</v>
      </c>
      <c r="AA6" s="14" t="str">
        <f>IF(ISBLANK(Master!AB6),"",Master!AB6)</f>
        <v>Yeh</v>
      </c>
      <c r="AB6" s="14" t="str">
        <f>IF(ISBLANK(Master!AC6),"",Master!AC6)</f>
        <v/>
      </c>
      <c r="AC6" s="14" t="str">
        <f>IF(ISBLANK(Master!AD6),"",Master!AD6)</f>
        <v>NEEDS COVERAGE</v>
      </c>
    </row>
    <row r="7" spans="1:29" x14ac:dyDescent="0.25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>x</v>
      </c>
      <c r="Y7" s="14" t="str">
        <f>IF(ISBLANK(Master!Z7),"",Master!Z7)</f>
        <v>Tam</v>
      </c>
      <c r="Z7" s="14" t="str">
        <f>IF(ISBLANK(Master!AA7),"",Master!AA7)</f>
        <v>Okolo</v>
      </c>
      <c r="AA7" s="14" t="str">
        <f>IF(ISBLANK(Master!AB7),"",Master!AB7)</f>
        <v/>
      </c>
      <c r="AB7" s="14" t="str">
        <f>IF(ISBLANK(Master!AC7),"",Master!AC7)</f>
        <v/>
      </c>
      <c r="AC7" s="14" t="str">
        <f>IF(ISBLANK(Master!AD7),"",Master!AD7)</f>
        <v>Theisen</v>
      </c>
    </row>
    <row r="8" spans="1:29" x14ac:dyDescent="0.25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>x</v>
      </c>
      <c r="Y8" s="14" t="str">
        <f>IF(ISBLANK(Master!Z8),"",Master!Z8)</f>
        <v>Yeh</v>
      </c>
      <c r="Z8" s="14" t="str">
        <f>IF(ISBLANK(Master!AA8),"",Master!AA8)</f>
        <v>Siow</v>
      </c>
      <c r="AA8" s="14" t="str">
        <f>IF(ISBLANK(Master!AB8),"",Master!AB8)</f>
        <v/>
      </c>
      <c r="AB8" s="14" t="str">
        <f>IF(ISBLANK(Master!AC8),"",Master!AC8)</f>
        <v>Dyer</v>
      </c>
      <c r="AC8" s="14" t="str">
        <f>IF(ISBLANK(Master!AD8),"",Master!AD8)</f>
        <v>NEEDS COVERAGE</v>
      </c>
    </row>
    <row r="9" spans="1:29" x14ac:dyDescent="0.25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>x</v>
      </c>
      <c r="Y9" s="14" t="str">
        <f>IF(ISBLANK(Master!Z9),"",Master!Z9)</f>
        <v/>
      </c>
      <c r="Z9" s="14" t="str">
        <f>IF(ISBLANK(Master!AA9),"",Master!AA9)</f>
        <v>Tam</v>
      </c>
      <c r="AA9" s="14" t="str">
        <f>IF(ISBLANK(Master!AB9),"",Master!AB9)</f>
        <v/>
      </c>
      <c r="AB9" s="14" t="str">
        <f>IF(ISBLANK(Master!AC9),"",Master!AC9)</f>
        <v/>
      </c>
      <c r="AC9" s="14" t="str">
        <f>IF(ISBLANK(Master!AD9),"",Master!AD9)</f>
        <v>Theisen</v>
      </c>
    </row>
    <row r="10" spans="1:29" x14ac:dyDescent="0.25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>x</v>
      </c>
      <c r="Y10" s="14" t="str">
        <f>IF(ISBLANK(Master!Z10),"",Master!Z10)</f>
        <v>Hill (Kirk)</v>
      </c>
      <c r="Z10" s="14" t="str">
        <f>IF(ISBLANK(Master!AA10),"",Master!AA10)</f>
        <v/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>Chen</v>
      </c>
    </row>
    <row r="11" spans="1:29" x14ac:dyDescent="0.25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>x</v>
      </c>
      <c r="Y11" s="14" t="str">
        <f>IF(ISBLANK(Master!Z11),"",Master!Z11)</f>
        <v/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>Okolo</v>
      </c>
      <c r="AC11" s="14" t="str">
        <f>IF(ISBLANK(Master!AD11),"",Master!AD11)</f>
        <v>NEEDS COVERAGE</v>
      </c>
    </row>
    <row r="12" spans="1:29" x14ac:dyDescent="0.25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>x</v>
      </c>
      <c r="Y12" s="14" t="str">
        <f>IF(ISBLANK(Master!Z12),"",Master!Z12)</f>
        <v/>
      </c>
      <c r="Z12" s="14" t="str">
        <f>IF(ISBLANK(Master!AA12),"",Master!AA12)</f>
        <v>Okolo</v>
      </c>
      <c r="AA12" s="14" t="str">
        <f>IF(ISBLANK(Master!AB12),"",Master!AB12)</f>
        <v/>
      </c>
      <c r="AB12" s="14" t="str">
        <f>IF(ISBLANK(Master!AC12),"",Master!AC12)</f>
        <v/>
      </c>
      <c r="AC12" s="14" t="str">
        <f>IF(ISBLANK(Master!AD12),"",Master!AD12)</f>
        <v>NEEDS COVERAGE</v>
      </c>
    </row>
    <row r="13" spans="1:29" x14ac:dyDescent="0.25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>CHP Jr.</v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>x</v>
      </c>
      <c r="Y13" s="14" t="str">
        <f>IF(ISBLANK(Master!Z13),"",Master!Z13)</f>
        <v>Torres</v>
      </c>
      <c r="Z13" s="14" t="str">
        <f>IF(ISBLANK(Master!AA13),"",Master!AA13)</f>
        <v>Tam</v>
      </c>
      <c r="AA13" s="14" t="str">
        <f>IF(ISBLANK(Master!AB13),"",Master!AB13)</f>
        <v/>
      </c>
      <c r="AB13" s="14" t="str">
        <f>IF(ISBLANK(Master!AC13),"",Master!AC13)</f>
        <v>Yeh</v>
      </c>
      <c r="AC13" s="14" t="str">
        <f>IF(ISBLANK(Master!AD13),"",Master!AD13)</f>
        <v>NEEDS COVERAGE</v>
      </c>
    </row>
    <row r="14" spans="1:29" x14ac:dyDescent="0.25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>x</v>
      </c>
      <c r="Y14" s="14" t="str">
        <f>IF(ISBLANK(Master!Z14),"",Master!Z14)</f>
        <v>Dyer</v>
      </c>
      <c r="Z14" s="14" t="str">
        <f>IF(ISBLANK(Master!AA14),"",Master!AA14)</f>
        <v>Griepentrog</v>
      </c>
      <c r="AA14" s="14" t="str">
        <f>IF(ISBLANK(Master!AB14),"",Master!AB14)</f>
        <v/>
      </c>
      <c r="AB14" s="14" t="str">
        <f>IF(ISBLANK(Master!AC14),"",Master!AC14)</f>
        <v>Yeh</v>
      </c>
      <c r="AC14" s="14" t="str">
        <f>IF(ISBLANK(Master!AD14),"",Master!AD14)</f>
        <v>Schusterman</v>
      </c>
    </row>
    <row r="15" spans="1:29" x14ac:dyDescent="0.25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>x</v>
      </c>
      <c r="Y15" s="14" t="str">
        <f>IF(ISBLANK(Master!Z15),"",Master!Z15)</f>
        <v>Okolo</v>
      </c>
      <c r="Z15" s="14" t="str">
        <f>IF(ISBLANK(Master!AA15),"",Master!AA15)</f>
        <v>Torres</v>
      </c>
      <c r="AA15" s="14" t="str">
        <f>IF(ISBLANK(Master!AB15),"",Master!AB15)</f>
        <v/>
      </c>
      <c r="AB15" s="14" t="str">
        <f>IF(ISBLANK(Master!AC15),"",Master!AC15)</f>
        <v/>
      </c>
      <c r="AC15" s="14" t="str">
        <f>IF(ISBLANK(Master!AD15),"",Master!AD15)</f>
        <v>NEEDS COVERAGE</v>
      </c>
    </row>
    <row r="16" spans="1:29" x14ac:dyDescent="0.25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>x</v>
      </c>
      <c r="Y16" s="14" t="str">
        <f>IF(ISBLANK(Master!Z16),"",Master!Z16)</f>
        <v/>
      </c>
      <c r="Z16" s="14" t="str">
        <f>IF(ISBLANK(Master!AA16),"",Master!AA16)</f>
        <v>Handzel</v>
      </c>
      <c r="AA16" s="14" t="str">
        <f>IF(ISBLANK(Master!AB16),"",Master!AB16)</f>
        <v/>
      </c>
      <c r="AB16" s="14" t="str">
        <f>IF(ISBLANK(Master!AC16),"",Master!AC16)</f>
        <v/>
      </c>
      <c r="AC16" s="14" t="str">
        <f>IF(ISBLANK(Master!AD16),"",Master!AD16)</f>
        <v>Hill (Kirk)</v>
      </c>
    </row>
    <row r="17" spans="1:29" x14ac:dyDescent="0.25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>x</v>
      </c>
      <c r="Y17" s="14" t="str">
        <f>IF(ISBLANK(Master!Z17),"",Master!Z17)</f>
        <v>Siow</v>
      </c>
      <c r="Z17" s="14" t="str">
        <f>IF(ISBLANK(Master!AA17),"",Master!AA17)</f>
        <v/>
      </c>
      <c r="AA17" s="14" t="str">
        <f>IF(ISBLANK(Master!AB17),"",Master!AB17)</f>
        <v/>
      </c>
      <c r="AB17" s="14" t="str">
        <f>IF(ISBLANK(Master!AC17),"",Master!AC17)</f>
        <v>Griepentrog</v>
      </c>
      <c r="AC17" s="14" t="str">
        <f>IF(ISBLANK(Master!AD17),"",Master!AD17)</f>
        <v>NEEDS COVERAGE</v>
      </c>
    </row>
    <row r="18" spans="1:29" x14ac:dyDescent="0.25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>x</v>
      </c>
      <c r="Y18" s="14" t="str">
        <f>IF(ISBLANK(Master!Z18),"",Master!Z18)</f>
        <v/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>NEEDS COVERAGE</v>
      </c>
    </row>
    <row r="19" spans="1:29" x14ac:dyDescent="0.25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>x</v>
      </c>
      <c r="Y19" s="14" t="str">
        <f>IF(ISBLANK(Master!Z19),"",Master!Z19)</f>
        <v/>
      </c>
      <c r="Z19" s="14" t="str">
        <f>IF(ISBLANK(Master!AA19),"",Master!AA19)</f>
        <v>Handzel</v>
      </c>
      <c r="AA19" s="14" t="str">
        <f>IF(ISBLANK(Master!AB19),"",Master!AB19)</f>
        <v/>
      </c>
      <c r="AB19" s="14" t="str">
        <f>IF(ISBLANK(Master!AC19),"",Master!AC19)</f>
        <v/>
      </c>
      <c r="AC19" s="14" t="str">
        <f>IF(ISBLANK(Master!AD19),"",Master!AD19)</f>
        <v>NEEDS COVERAGE</v>
      </c>
    </row>
    <row r="20" spans="1:29" x14ac:dyDescent="0.25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>x</v>
      </c>
      <c r="Y20" s="14" t="str">
        <f>IF(ISBLANK(Master!Z20),"",Master!Z20)</f>
        <v>Tam</v>
      </c>
      <c r="Z20" s="14" t="str">
        <f>IF(ISBLANK(Master!AA20),"",Master!AA20)</f>
        <v>Dyer</v>
      </c>
      <c r="AA20" s="14" t="str">
        <f>IF(ISBLANK(Master!AB20),"",Master!AB20)</f>
        <v/>
      </c>
      <c r="AB20" s="14" t="str">
        <f>IF(ISBLANK(Master!AC20),"",Master!AC20)</f>
        <v>Siow</v>
      </c>
      <c r="AC20" s="14" t="str">
        <f>IF(ISBLANK(Master!AD20),"",Master!AD20)</f>
        <v>NEEDS COVERAGE</v>
      </c>
    </row>
    <row r="21" spans="1:29" x14ac:dyDescent="0.25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>CT</v>
      </c>
      <c r="Y21" s="14" t="str">
        <f>IF(ISBLANK(Master!Z21),"",Master!Z21)</f>
        <v>Van Der Windt</v>
      </c>
      <c r="Z21" s="14" t="str">
        <f>IF(ISBLANK(Master!AA21),"",Master!AA21)</f>
        <v>Handzel</v>
      </c>
      <c r="AA21" s="14" t="str">
        <f>IF(ISBLANK(Master!AB21),"",Master!AB21)</f>
        <v/>
      </c>
      <c r="AB21" s="14" t="str">
        <f>IF(ISBLANK(Master!AC21),"",Master!AC21)</f>
        <v/>
      </c>
      <c r="AC21" s="14" t="str">
        <f>IF(ISBLANK(Master!AD21),"",Master!AD21)</f>
        <v>Shaffiey</v>
      </c>
    </row>
    <row r="22" spans="1:29" x14ac:dyDescent="0.25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>Trauma</v>
      </c>
      <c r="Y22" s="14" t="str">
        <f>IF(ISBLANK(Master!Z22),"",Master!Z22)</f>
        <v>Shaffiey</v>
      </c>
      <c r="Z22" s="14" t="str">
        <f>IF(ISBLANK(Master!AA22),"",Master!AA22)</f>
        <v>Dyer</v>
      </c>
      <c r="AA22" s="14" t="str">
        <f>IF(ISBLANK(Master!AB22),"",Master!AB22)</f>
        <v/>
      </c>
      <c r="AB22" s="14" t="str">
        <f>IF(ISBLANK(Master!AC22),"",Master!AC22)</f>
        <v/>
      </c>
      <c r="AC22" s="14" t="str">
        <f>IF(ISBLANK(Master!AD22),"",Master!AD22)</f>
        <v>Schusterman</v>
      </c>
    </row>
    <row r="23" spans="1:29" x14ac:dyDescent="0.25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/>
      </c>
      <c r="Y23" s="14" t="str">
        <f>IF(ISBLANK(Master!Z23),"",Master!Z23)</f>
        <v/>
      </c>
      <c r="Z23" s="14" t="str">
        <f>IF(ISBLANK(Master!AA23),"",Master!AA23)</f>
        <v>Hill (Kirk)</v>
      </c>
      <c r="AA23" s="14" t="str">
        <f>IF(ISBLANK(Master!AB23),"",Master!AB23)</f>
        <v/>
      </c>
      <c r="AB23" s="14" t="str">
        <f>IF(ISBLANK(Master!AC23),"",Master!AC23)</f>
        <v>Handzel</v>
      </c>
      <c r="AC23" s="14" t="str">
        <f>IF(ISBLANK(Master!AD23),"",Master!AD23)</f>
        <v>NEEDS COVERAGE</v>
      </c>
    </row>
    <row r="24" spans="1:29" x14ac:dyDescent="0.25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x</v>
      </c>
      <c r="Y24" s="14" t="str">
        <f>IF(ISBLANK(Master!Z24),"",Master!Z24)</f>
        <v>Van Der Windt</v>
      </c>
      <c r="Z24" s="14" t="str">
        <f>IF(ISBLANK(Master!AA24),"",Master!AA24)</f>
        <v/>
      </c>
      <c r="AA24" s="14" t="str">
        <f>IF(ISBLANK(Master!AB24),"",Master!AB24)</f>
        <v>Okolo</v>
      </c>
      <c r="AB24" s="14" t="str">
        <f>IF(ISBLANK(Master!AC24),"",Master!AC24)</f>
        <v/>
      </c>
      <c r="AC24" s="14" t="str">
        <f>IF(ISBLANK(Master!AD24),"",Master!AD24)</f>
        <v>NEEDS COVERAGE</v>
      </c>
    </row>
    <row r="25" spans="1:29" x14ac:dyDescent="0.25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/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>x</v>
      </c>
      <c r="Y25" s="14" t="str">
        <f>IF(ISBLANK(Master!Z25),"",Master!Z25)</f>
        <v/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/>
      </c>
      <c r="AC25" s="14" t="str">
        <f>IF(ISBLANK(Master!AD25),"",Master!AD25)</f>
        <v>NEEDS COVERAGE</v>
      </c>
    </row>
    <row r="26" spans="1:29" x14ac:dyDescent="0.25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/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>x</v>
      </c>
      <c r="Y26" s="14" t="str">
        <f>IF(ISBLANK(Master!Z26),"",Master!Z26)</f>
        <v/>
      </c>
      <c r="Z26" s="14" t="str">
        <f>IF(ISBLANK(Master!AA26),"",Master!AA26)</f>
        <v>Siow</v>
      </c>
      <c r="AA26" s="14" t="str">
        <f>IF(ISBLANK(Master!AB26),"",Master!AB26)</f>
        <v/>
      </c>
      <c r="AB26" s="14" t="str">
        <f>IF(ISBLANK(Master!AC26),"",Master!AC26)</f>
        <v/>
      </c>
      <c r="AC26" s="14" t="str">
        <f>IF(ISBLANK(Master!AD26),"",Master!AD26)</f>
        <v>NEEDS COVERAGE</v>
      </c>
    </row>
    <row r="27" spans="1:29" x14ac:dyDescent="0.25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>x</v>
      </c>
      <c r="O27" s="14" t="str">
        <f>IF(ISBLANK(Master!O27),"",Master!O27)</f>
        <v>Trauma</v>
      </c>
      <c r="P27" s="14" t="str">
        <f>IF(ISBLANK(Master!P27),"",Master!P27)</f>
        <v>CHP Jr.</v>
      </c>
      <c r="Q27" s="14" t="str">
        <f>IF(ISBLANK(Master!Q27),"",Master!Q27)</f>
        <v/>
      </c>
      <c r="R27" s="14" t="str">
        <f>IF(ISBLANK(Master!R27),"",Master!R27)</f>
        <v/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>CT</v>
      </c>
      <c r="Y27" s="14" t="str">
        <f>IF(ISBLANK(Master!Z27),"",Master!Z27)</f>
        <v>Hill (Kirk)</v>
      </c>
      <c r="Z27" s="14" t="str">
        <f>IF(ISBLANK(Master!AA27),"",Master!AA27)</f>
        <v>Van Der Windt</v>
      </c>
      <c r="AA27" s="14" t="str">
        <f>IF(ISBLANK(Master!AB27),"",Master!AB27)</f>
        <v/>
      </c>
      <c r="AB27" s="14" t="str">
        <f>IF(ISBLANK(Master!AC27),"",Master!AC27)</f>
        <v>Okolo</v>
      </c>
      <c r="AC27" s="14" t="str">
        <f>IF(ISBLANK(Master!AD27),"",Master!AD27)</f>
        <v>Shaffiey</v>
      </c>
    </row>
    <row r="28" spans="1:29" x14ac:dyDescent="0.25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/>
      </c>
      <c r="Q28" s="14" t="str">
        <f>IF(ISBLANK(Master!Q28),"",Master!Q28)</f>
        <v/>
      </c>
      <c r="R28" s="14" t="str">
        <f>IF(ISBLANK(Master!R28),"",Master!R28)</f>
        <v>CHP Jr.</v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>CT</v>
      </c>
      <c r="Y28" s="14" t="str">
        <f>IF(ISBLANK(Master!Z28),"",Master!Z28)</f>
        <v>Griepentrog</v>
      </c>
      <c r="Z28" s="14" t="str">
        <f>IF(ISBLANK(Master!AA28),"",Master!AA28)</f>
        <v>Handzel</v>
      </c>
      <c r="AA28" s="14" t="str">
        <f>IF(ISBLANK(Master!AB28),"",Master!AB28)</f>
        <v/>
      </c>
      <c r="AB28" s="14" t="str">
        <f>IF(ISBLANK(Master!AC28),"",Master!AC28)</f>
        <v>Tam</v>
      </c>
      <c r="AC28" s="14" t="str">
        <f>IF(ISBLANK(Master!AD28),"",Master!AD28)</f>
        <v>Shaffiey</v>
      </c>
    </row>
    <row r="29" spans="1:29" x14ac:dyDescent="0.25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>x</v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>CT</v>
      </c>
      <c r="Y29" s="14" t="str">
        <f>IF(ISBLANK(Master!Z29),"",Master!Z29)</f>
        <v>Dyer</v>
      </c>
      <c r="Z29" s="14" t="str">
        <f>IF(ISBLANK(Master!AA29),"",Master!AA29)</f>
        <v>Yeh</v>
      </c>
      <c r="AA29" s="14" t="str">
        <f>IF(ISBLANK(Master!AB29),"",Master!AB29)</f>
        <v/>
      </c>
      <c r="AB29" s="14" t="str">
        <f>IF(ISBLANK(Master!AC29),"",Master!AC29)</f>
        <v>Tam</v>
      </c>
      <c r="AC29" s="14" t="str">
        <f>IF(ISBLANK(Master!AD29),"",Master!AD29)</f>
        <v>Shaffiey</v>
      </c>
    </row>
    <row r="30" spans="1:29" x14ac:dyDescent="0.25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>CT</v>
      </c>
      <c r="Y30" s="14" t="str">
        <f>IF(ISBLANK(Master!Z30),"",Master!Z30)</f>
        <v/>
      </c>
      <c r="Z30" s="14" t="str">
        <f>IF(ISBLANK(Master!AA30),"",Master!AA30)</f>
        <v>Tam</v>
      </c>
      <c r="AA30" s="14" t="str">
        <f>IF(ISBLANK(Master!AB30),"",Master!AB30)</f>
        <v/>
      </c>
      <c r="AB30" s="14" t="str">
        <f>IF(ISBLANK(Master!AC30),"",Master!AC30)</f>
        <v>Hill (Kirk)</v>
      </c>
      <c r="AC30" s="14" t="str">
        <f>IF(ISBLANK(Master!AD30),"",Master!AD30)</f>
        <v>Shaffiey</v>
      </c>
    </row>
    <row r="31" spans="1:29" x14ac:dyDescent="0.25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/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>x</v>
      </c>
      <c r="Y31" s="14" t="str">
        <f>IF(ISBLANK(Master!Z31),"",Master!Z31)</f>
        <v>Handzel</v>
      </c>
      <c r="Z31" s="14" t="str">
        <f>IF(ISBLANK(Master!AA31),"",Master!AA31)</f>
        <v/>
      </c>
      <c r="AA31" s="14" t="str">
        <f>IF(ISBLANK(Master!AB31),"",Master!AB31)</f>
        <v/>
      </c>
      <c r="AB31" s="14" t="str">
        <f>IF(ISBLANK(Master!AC31),"",Master!AC31)</f>
        <v/>
      </c>
      <c r="AC31" s="14" t="str">
        <f>IF(ISBLANK(Master!AD31),"",Master!AD31)</f>
        <v>NEEDS COVERAGE</v>
      </c>
    </row>
    <row r="32" spans="1:29" x14ac:dyDescent="0.25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Y32" s="14" t="str">
        <f>IF(ISBLANK(Master!Z32),"",Master!Z32)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</row>
    <row r="33" spans="1:29" x14ac:dyDescent="0.25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Y33" s="14" t="str">
        <f>IF(ISBLANK(Master!Z33),"",Master!Z33)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</row>
    <row r="34" spans="1:29" x14ac:dyDescent="0.25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>4-5</v>
      </c>
      <c r="Y34" s="14" t="str">
        <f>IF(ISBLANK(Master!Z34),"",Master!Z34)</f>
        <v/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</row>
    <row r="35" spans="1:29" x14ac:dyDescent="0.25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5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4</v>
      </c>
      <c r="L35" s="14">
        <f>IF(ISBLANK(Master!L35),"",Master!L35)</f>
        <v>5</v>
      </c>
      <c r="M35" s="14">
        <f>IF(ISBLANK(Master!M35),"",Master!M35)</f>
        <v>4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>
        <f>IF(ISBLANK(Master!W35),"",Master!W35)</f>
        <v>6</v>
      </c>
      <c r="Y35" s="14" t="str">
        <f>IF(ISBLANK(Master!Z35),"",Master!Z35)</f>
        <v/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</row>
  </sheetData>
  <sheetProtection algorithmName="SHA-512" hashValue="a1dCW7JA0dchA3JJwOJMCkKmvC5lnyXR6dtOKiT2aShgKmaXe7cdVzPXRUogkAjmF14R+0W9Wrj8s76ua/tkyg==" saltValue="2pFrYnSeiXmw3SLfVOs42g==" spinCount="100000" sheet="1" objects="1" scenarios="1"/>
  <conditionalFormatting sqref="Y1:Y1048576">
    <cfRule type="notContainsBlanks" dxfId="42" priority="4">
      <formula>LEN(TRIM(Y1))&gt;0</formula>
    </cfRule>
  </conditionalFormatting>
  <conditionalFormatting sqref="Z1:Z1048576">
    <cfRule type="notContainsBlanks" dxfId="41" priority="3">
      <formula>LEN(TRIM(Z1))&gt;0</formula>
    </cfRule>
  </conditionalFormatting>
  <conditionalFormatting sqref="AA1:AB1048576">
    <cfRule type="notContainsBlanks" dxfId="40" priority="2">
      <formula>LEN(TRIM(AA1))&gt;0</formula>
    </cfRule>
  </conditionalFormatting>
  <conditionalFormatting sqref="AC1:AC1048576">
    <cfRule type="notContainsBlanks" dxfId="39" priority="1">
      <formula>LEN(TRIM(AC1))&gt;0</formula>
    </cfRule>
  </conditionalFormatting>
  <conditionalFormatting sqref="C2:X32">
    <cfRule type="cellIs" dxfId="4" priority="102" operator="equal">
      <formula>$Z$1</formula>
    </cfRule>
    <cfRule type="cellIs" dxfId="3" priority="103" operator="equal">
      <formula>$AB$1</formula>
    </cfRule>
    <cfRule type="cellIs" dxfId="2" priority="104" operator="equal">
      <formula>$AA$1</formula>
    </cfRule>
    <cfRule type="cellIs" dxfId="1" priority="105" operator="equal">
      <formula>$AC$1</formula>
    </cfRule>
    <cfRule type="cellIs" dxfId="0" priority="106" operator="equal">
      <formula>$Y$1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9" sqref="R29"/>
    </sheetView>
  </sheetViews>
  <sheetFormatPr defaultColWidth="8.85546875" defaultRowHeight="15" x14ac:dyDescent="0.25"/>
  <cols>
    <col min="1" max="1" width="13" style="2" bestFit="1" customWidth="1"/>
    <col min="2" max="2" width="10.5703125" style="2" bestFit="1" customWidth="1"/>
    <col min="3" max="3" width="13.7109375" style="4" customWidth="1"/>
    <col min="4" max="6" width="9.5703125" style="4" bestFit="1" customWidth="1"/>
    <col min="7" max="7" width="8.7109375" style="4" bestFit="1" customWidth="1"/>
    <col min="8" max="8" width="10" style="4" bestFit="1" customWidth="1"/>
    <col min="9" max="9" width="10.140625" style="4" bestFit="1" customWidth="1"/>
    <col min="10" max="10" width="8.7109375" style="4" bestFit="1" customWidth="1"/>
    <col min="11" max="11" width="14.5703125" style="4" bestFit="1" customWidth="1"/>
    <col min="12" max="12" width="8.7109375" style="4" bestFit="1" customWidth="1"/>
    <col min="13" max="13" width="12.5703125" style="4" bestFit="1" customWidth="1"/>
    <col min="14" max="14" width="9.140625" style="4" bestFit="1" customWidth="1"/>
    <col min="15" max="15" width="9.28515625" style="4" bestFit="1" customWidth="1"/>
    <col min="16" max="17" width="8.7109375" style="4" bestFit="1" customWidth="1"/>
    <col min="18" max="18" width="8.7109375" style="6" bestFit="1" customWidth="1"/>
    <col min="19" max="19" width="10.140625" style="4" bestFit="1" customWidth="1"/>
    <col min="20" max="20" width="8.85546875" style="4" bestFit="1" customWidth="1"/>
    <col min="21" max="21" width="8.7109375" style="4" bestFit="1" customWidth="1"/>
    <col min="22" max="22" width="14" style="4" bestFit="1" customWidth="1"/>
    <col min="23" max="23" width="9.5703125" style="4" bestFit="1" customWidth="1"/>
    <col min="24" max="24" width="8.140625" style="4" customWidth="1"/>
    <col min="25" max="25" width="16.85546875" style="4" bestFit="1" customWidth="1"/>
    <col min="26" max="30" width="20.140625" style="11" bestFit="1" customWidth="1"/>
    <col min="31" max="31" width="18.7109375" style="11" customWidth="1"/>
    <col min="32" max="36" width="7.85546875" style="4" customWidth="1"/>
    <col min="37" max="16384" width="8.85546875" style="4"/>
  </cols>
  <sheetData>
    <row r="1" spans="1:36" x14ac:dyDescent="0.25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36</v>
      </c>
      <c r="P1" s="2" t="s">
        <v>26</v>
      </c>
      <c r="Q1" s="2" t="s">
        <v>27</v>
      </c>
      <c r="R1" s="3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60</v>
      </c>
      <c r="Z1" s="5" t="s">
        <v>2</v>
      </c>
      <c r="AA1" s="16" t="s">
        <v>35</v>
      </c>
      <c r="AB1" s="16" t="s">
        <v>32</v>
      </c>
      <c r="AC1" s="16" t="s">
        <v>31</v>
      </c>
      <c r="AD1" s="16" t="s">
        <v>3</v>
      </c>
      <c r="AE1" s="5"/>
      <c r="AF1" s="5" t="s">
        <v>2</v>
      </c>
      <c r="AG1" s="16" t="s">
        <v>35</v>
      </c>
      <c r="AH1" s="16" t="s">
        <v>32</v>
      </c>
      <c r="AI1" s="16" t="s">
        <v>31</v>
      </c>
      <c r="AJ1" s="16" t="s">
        <v>3</v>
      </c>
    </row>
    <row r="2" spans="1:36" x14ac:dyDescent="0.25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2" t="s">
        <v>35</v>
      </c>
      <c r="L2" s="2"/>
      <c r="M2" s="2">
        <v>1</v>
      </c>
      <c r="N2" s="2">
        <v>1</v>
      </c>
      <c r="O2" s="2">
        <v>2</v>
      </c>
      <c r="P2" s="2"/>
      <c r="Q2" s="2" t="s">
        <v>32</v>
      </c>
      <c r="R2" s="3" t="s">
        <v>51</v>
      </c>
      <c r="S2" s="2" t="s">
        <v>11</v>
      </c>
      <c r="T2" s="2"/>
      <c r="U2" s="2" t="s">
        <v>11</v>
      </c>
      <c r="V2" s="2" t="s">
        <v>11</v>
      </c>
      <c r="W2" s="2" t="s">
        <v>11</v>
      </c>
      <c r="Z2" s="2" t="str">
        <f>IF(ISBLANK(AF2),IF(COUNTIF($C2:$W2,Z$1)&gt;0,"ERROR",""),IF(COUNTIF($C2:$W2,Z$1)&lt;1,"NEEDS COVERAGE",IF(COUNTIF($C2:$W2,Z$1)&gt;1,"ERROR",IF(ISNA(INDEX($C$1:$W$1,MATCH(Z$1,$C2:$W2,0))),"",INDEX($C$1:$W$1,MATCH(Z$1,$C2:$W2,0))))))</f>
        <v/>
      </c>
      <c r="AA2" s="2" t="str">
        <f>IF(ISBLANK(AG2),IF(COUNTIF($C2:$W2,AA$1)&gt;0,"ERROR",""),IF(COUNTIF($C2:$W2,AA$1)&lt;1,"NEEDS COVERAGE",IF(COUNTIF($C2:$W2,AA$1)&gt;1,"ERROR",IF(ISNA(INDEX($C$1:$W$1,MATCH(AA$1,$C2:$W2,0))),"",INDEX($C$1:$W$1,MATCH(AA$1,$C2:$W2,0))))))</f>
        <v>Van Der Windt</v>
      </c>
      <c r="AB2" s="2" t="str">
        <f>IF(ISBLANK(AH2),IF(COUNTIF($C2:$W2,AB$1)&gt;0,"ERROR",""),IF(COUNTIF($C2:$W2,AB$1)&lt;1,"NEEDS COVERAGE",IF(COUNTIF($C2:$W2,AB$1)&gt;1,"ERROR",IF(ISNA(INDEX($C$1:$W$1,MATCH(AB$1,$C2:$W2,0))),"",INDEX($C$1:$W$1,MATCH(AB$1,$C2:$W2,0))))))</f>
        <v>Siow</v>
      </c>
      <c r="AC2" s="2" t="str">
        <f>IF(ISBLANK(AI2),IF(COUNTIF($C2:$W2,AC$1)&gt;0,"ERROR",""),IF(COUNTIF($C2:$W2,AC$1)&lt;1,"NEEDS COVERAGE",IF(COUNTIF($C2:$W2,AC$1)&gt;1,"ERROR",IF(ISNA(INDEX($C$1:$W$1,MATCH(AC$1,$C2:$W2,0))),"",INDEX($C$1:$W$1,MATCH(AC$1,$C2:$W2,0))))))</f>
        <v/>
      </c>
      <c r="AD2" s="2" t="str">
        <f>IF(ISBLANK(AJ2),IF(COUNTIF($C2:$W2,AD$1)&gt;0,"ERROR",""),IF(COUNTIF($C2:$W2,AD$1)&lt;1,"NEEDS COVERAGE",IF(COUNTIF($C2:$W2,AD$1)&gt;1,"ERROR",IF(ISNA(INDEX($C$1:$W$1,MATCH(AD$1,$C2:$W2,0))),"",INDEX($C$1:$W$1,MATCH(AD$1,$C2:$W2,0))))))</f>
        <v>NEEDS COVERAGE</v>
      </c>
      <c r="AE2" s="21"/>
      <c r="AF2" s="2"/>
      <c r="AG2" s="2" t="s">
        <v>11</v>
      </c>
      <c r="AH2" s="2" t="s">
        <v>11</v>
      </c>
      <c r="AI2" s="2"/>
      <c r="AJ2" s="2" t="s">
        <v>11</v>
      </c>
    </row>
    <row r="3" spans="1:36" x14ac:dyDescent="0.25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2" t="s">
        <v>11</v>
      </c>
      <c r="M3" s="2"/>
      <c r="N3" s="2" t="s">
        <v>11</v>
      </c>
      <c r="O3" s="2" t="s">
        <v>11</v>
      </c>
      <c r="P3" s="2" t="s">
        <v>31</v>
      </c>
      <c r="Q3" s="2"/>
      <c r="R3" s="3" t="s">
        <v>11</v>
      </c>
      <c r="S3" s="2" t="s">
        <v>11</v>
      </c>
      <c r="T3" s="2"/>
      <c r="U3" s="2" t="s">
        <v>11</v>
      </c>
      <c r="V3" s="2" t="s">
        <v>11</v>
      </c>
      <c r="W3" s="2" t="s">
        <v>11</v>
      </c>
      <c r="Z3" s="2" t="str">
        <f>IF(ISBLANK(AF3),IF(COUNTIF($C3:$W3,Z$1)&gt;0,"ERROR",""),IF(COUNTIF($C3:$W3,Z$1)&lt;1,"NEEDS COVERAGE",IF(COUNTIF($C3:$W3,Z$1)&gt;1,"ERROR",IF(ISNA(INDEX($C$1:$W$1,MATCH(Z$1,$C3:$W3,0))),"",INDEX($C$1:$W$1,MATCH(Z$1,$C3:$W3,0))))))</f>
        <v>Torres</v>
      </c>
      <c r="AA3" s="2" t="str">
        <f>IF(ISBLANK(AG3),IF(COUNTIF($C3:$W3,AA$1)&gt;0,"ERROR",""),IF(COUNTIF($C3:$W3,AA$1)&lt;1,"NEEDS COVERAGE",IF(COUNTIF($C3:$W3,AA$1)&gt;1,"ERROR",IF(ISNA(INDEX($C$1:$W$1,MATCH(AA$1,$C3:$W3,0))),"",INDEX($C$1:$W$1,MATCH(AA$1,$C3:$W3,0))))))</f>
        <v/>
      </c>
      <c r="AB3" s="2" t="str">
        <f>IF(ISBLANK(AH3),IF(COUNTIF($C3:$W3,AB$1)&gt;0,"ERROR",""),IF(COUNTIF($C3:$W3,AB$1)&lt;1,"NEEDS COVERAGE",IF(COUNTIF($C3:$W3,AB$1)&gt;1,"ERROR",IF(ISNA(INDEX($C$1:$W$1,MATCH(AB$1,$C3:$W3,0))),"",INDEX($C$1:$W$1,MATCH(AB$1,$C3:$W3,0))))))</f>
        <v/>
      </c>
      <c r="AC3" s="2" t="str">
        <f>IF(ISBLANK(AI3),IF(COUNTIF($C3:$W3,AC$1)&gt;0,"ERROR",""),IF(COUNTIF($C3:$W3,AC$1)&lt;1,"NEEDS COVERAGE",IF(COUNTIF($C3:$W3,AC$1)&gt;1,"ERROR",IF(ISNA(INDEX($C$1:$W$1,MATCH(AC$1,$C3:$W3,0))),"",INDEX($C$1:$W$1,MATCH(AC$1,$C3:$W3,0))))))</f>
        <v>Okolo</v>
      </c>
      <c r="AD3" s="2" t="str">
        <f>IF(ISBLANK(AJ3),IF(COUNTIF($C3:$W3,AD$1)&gt;0,"ERROR",""),IF(COUNTIF($C3:$W3,AD$1)&lt;1,"NEEDS COVERAGE",IF(COUNTIF($C3:$W3,AD$1)&gt;1,"ERROR",IF(ISNA(INDEX($C$1:$W$1,MATCH(AD$1,$C3:$W3,0))),"",INDEX($C$1:$W$1,MATCH(AD$1,$C3:$W3,0))))))</f>
        <v>NEEDS COVERAGE</v>
      </c>
      <c r="AE3" s="21"/>
      <c r="AF3" s="2" t="s">
        <v>11</v>
      </c>
      <c r="AG3" s="2"/>
      <c r="AH3" s="2"/>
      <c r="AI3" s="2" t="s">
        <v>11</v>
      </c>
      <c r="AJ3" s="2" t="s">
        <v>11</v>
      </c>
    </row>
    <row r="4" spans="1:36" x14ac:dyDescent="0.25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2" t="s">
        <v>11</v>
      </c>
      <c r="M4" s="2"/>
      <c r="N4" s="2"/>
      <c r="O4" s="2" t="s">
        <v>11</v>
      </c>
      <c r="P4" s="2"/>
      <c r="Q4" s="2"/>
      <c r="R4" s="3" t="s">
        <v>11</v>
      </c>
      <c r="S4" s="2" t="s">
        <v>11</v>
      </c>
      <c r="T4" s="2"/>
      <c r="U4" s="2" t="s">
        <v>11</v>
      </c>
      <c r="V4" s="2" t="s">
        <v>11</v>
      </c>
      <c r="W4" s="2" t="s">
        <v>11</v>
      </c>
      <c r="Z4" s="2" t="str">
        <f>IF(ISBLANK(AF4),IF(COUNTIF($C4:$W4,Z$1)&gt;0,"ERROR",""),IF(COUNTIF($C4:$W4,Z$1)&lt;1,"NEEDS COVERAGE",IF(COUNTIF($C4:$W4,Z$1)&gt;1,"ERROR",IF(ISNA(INDEX($C$1:$W$1,MATCH(Z$1,$C4:$W4,0))),"",INDEX($C$1:$W$1,MATCH(Z$1,$C4:$W4,0))))))</f>
        <v/>
      </c>
      <c r="AA4" s="2" t="str">
        <f>IF(ISBLANK(AG4),IF(COUNTIF($C4:$W4,AA$1)&gt;0,"ERROR",""),IF(COUNTIF($C4:$W4,AA$1)&lt;1,"NEEDS COVERAGE",IF(COUNTIF($C4:$W4,AA$1)&gt;1,"ERROR",IF(ISNA(INDEX($C$1:$W$1,MATCH(AA$1,$C4:$W4,0))),"",INDEX($C$1:$W$1,MATCH(AA$1,$C4:$W4,0))))))</f>
        <v/>
      </c>
      <c r="AB4" s="2" t="str">
        <f>IF(ISBLANK(AH4),IF(COUNTIF($C4:$W4,AB$1)&gt;0,"ERROR",""),IF(COUNTIF($C4:$W4,AB$1)&lt;1,"NEEDS COVERAGE",IF(COUNTIF($C4:$W4,AB$1)&gt;1,"ERROR",IF(ISNA(INDEX($C$1:$W$1,MATCH(AB$1,$C4:$W4,0))),"",INDEX($C$1:$W$1,MATCH(AB$1,$C4:$W4,0))))))</f>
        <v/>
      </c>
      <c r="AC4" s="2" t="str">
        <f>IF(ISBLANK(AI4),IF(COUNTIF($C4:$W4,AC$1)&gt;0,"ERROR",""),IF(COUNTIF($C4:$W4,AC$1)&lt;1,"NEEDS COVERAGE",IF(COUNTIF($C4:$W4,AC$1)&gt;1,"ERROR",IF(ISNA(INDEX($C$1:$W$1,MATCH(AC$1,$C4:$W4,0))),"",INDEX($C$1:$W$1,MATCH(AC$1,$C4:$W4,0))))))</f>
        <v/>
      </c>
      <c r="AD4" s="2" t="str">
        <f>IF(ISBLANK(AJ4),IF(COUNTIF($C4:$W4,AD$1)&gt;0,"ERROR",""),IF(COUNTIF($C4:$W4,AD$1)&lt;1,"NEEDS COVERAGE",IF(COUNTIF($C4:$W4,AD$1)&gt;1,"ERROR",IF(ISNA(INDEX($C$1:$W$1,MATCH(AD$1,$C4:$W4,0))),"",INDEX($C$1:$W$1,MATCH(AD$1,$C4:$W4,0))))))</f>
        <v>NEEDS COVERAGE</v>
      </c>
      <c r="AE4" s="22"/>
      <c r="AF4" s="2"/>
      <c r="AG4" s="2"/>
      <c r="AH4" s="2"/>
      <c r="AI4" s="2"/>
      <c r="AJ4" s="2" t="s">
        <v>11</v>
      </c>
    </row>
    <row r="5" spans="1:36" x14ac:dyDescent="0.25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2" t="s">
        <v>11</v>
      </c>
      <c r="M5" s="2" t="s">
        <v>35</v>
      </c>
      <c r="N5" s="2" t="s">
        <v>11</v>
      </c>
      <c r="O5" s="2" t="s">
        <v>11</v>
      </c>
      <c r="P5" s="2"/>
      <c r="Q5" s="2" t="s">
        <v>31</v>
      </c>
      <c r="R5" s="3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 t="s">
        <v>11</v>
      </c>
      <c r="Z5" s="2" t="str">
        <f>IF(ISBLANK(AF5),IF(COUNTIF($C5:$W5,Z$1)&gt;0,"ERROR",""),IF(COUNTIF($C5:$W5,Z$1)&lt;1,"NEEDS COVERAGE",IF(COUNTIF($C5:$W5,Z$1)&gt;1,"ERROR",IF(ISNA(INDEX($C$1:$W$1,MATCH(Z$1,$C5:$W5,0))),"",INDEX($C$1:$W$1,MATCH(Z$1,$C5:$W5,0))))))</f>
        <v/>
      </c>
      <c r="AA5" s="2" t="str">
        <f>IF(ISBLANK(AG5),IF(COUNTIF($C5:$W5,AA$1)&gt;0,"ERROR",""),IF(COUNTIF($C5:$W5,AA$1)&lt;1,"NEEDS COVERAGE",IF(COUNTIF($C5:$W5,AA$1)&gt;1,"ERROR",IF(ISNA(INDEX($C$1:$W$1,MATCH(AA$1,$C5:$W5,0))),"",INDEX($C$1:$W$1,MATCH(AA$1,$C5:$W5,0))))))</f>
        <v>Griepentrog</v>
      </c>
      <c r="AB5" s="2" t="str">
        <f>IF(ISBLANK(AH5),IF(COUNTIF($C5:$W5,AB$1)&gt;0,"ERROR",""),IF(COUNTIF($C5:$W5,AB$1)&lt;1,"NEEDS COVERAGE",IF(COUNTIF($C5:$W5,AB$1)&gt;1,"ERROR",IF(ISNA(INDEX($C$1:$W$1,MATCH(AB$1,$C5:$W5,0))),"",INDEX($C$1:$W$1,MATCH(AB$1,$C5:$W5,0))))))</f>
        <v/>
      </c>
      <c r="AC5" s="2" t="str">
        <f>IF(ISBLANK(AI5),IF(COUNTIF($C5:$W5,AC$1)&gt;0,"ERROR",""),IF(COUNTIF($C5:$W5,AC$1)&lt;1,"NEEDS COVERAGE",IF(COUNTIF($C5:$W5,AC$1)&gt;1,"ERROR",IF(ISNA(INDEX($C$1:$W$1,MATCH(AC$1,$C5:$W5,0))),"",INDEX($C$1:$W$1,MATCH(AC$1,$C5:$W5,0))))))</f>
        <v>Siow</v>
      </c>
      <c r="AD5" s="2" t="str">
        <f>IF(ISBLANK(AJ5),IF(COUNTIF($C5:$W5,AD$1)&gt;0,"ERROR",""),IF(COUNTIF($C5:$W5,AD$1)&lt;1,"NEEDS COVERAGE",IF(COUNTIF($C5:$W5,AD$1)&gt;1,"ERROR",IF(ISNA(INDEX($C$1:$W$1,MATCH(AD$1,$C5:$W5,0))),"",INDEX($C$1:$W$1,MATCH(AD$1,$C5:$W5,0))))))</f>
        <v>NEEDS COVERAGE</v>
      </c>
      <c r="AE5" s="21"/>
      <c r="AF5" s="2"/>
      <c r="AG5" s="2" t="s">
        <v>11</v>
      </c>
      <c r="AH5" s="2"/>
      <c r="AI5" s="2" t="s">
        <v>11</v>
      </c>
      <c r="AJ5" s="2" t="s">
        <v>11</v>
      </c>
    </row>
    <row r="6" spans="1:36" x14ac:dyDescent="0.25">
      <c r="A6" s="2" t="s">
        <v>8</v>
      </c>
      <c r="B6" s="10">
        <v>5</v>
      </c>
      <c r="C6" s="2" t="s">
        <v>11</v>
      </c>
      <c r="D6" s="2" t="s">
        <v>11</v>
      </c>
      <c r="E6" s="2" t="s">
        <v>11</v>
      </c>
      <c r="F6" s="2" t="s">
        <v>11</v>
      </c>
      <c r="G6" s="2" t="s">
        <v>11</v>
      </c>
      <c r="H6" s="2" t="s">
        <v>11</v>
      </c>
      <c r="I6" s="2" t="s">
        <v>11</v>
      </c>
      <c r="J6" s="2" t="s">
        <v>2</v>
      </c>
      <c r="K6" s="2" t="s">
        <v>11</v>
      </c>
      <c r="L6" s="2" t="s">
        <v>32</v>
      </c>
      <c r="M6" s="2"/>
      <c r="N6" s="2" t="s">
        <v>11</v>
      </c>
      <c r="O6" s="2" t="s">
        <v>35</v>
      </c>
      <c r="P6" s="2"/>
      <c r="Q6" s="2"/>
      <c r="R6" s="3"/>
      <c r="S6" s="2" t="s">
        <v>11</v>
      </c>
      <c r="T6" s="2" t="s">
        <v>11</v>
      </c>
      <c r="U6" s="2" t="s">
        <v>11</v>
      </c>
      <c r="V6" s="2" t="s">
        <v>11</v>
      </c>
      <c r="W6" s="2" t="s">
        <v>11</v>
      </c>
      <c r="Z6" s="2" t="str">
        <f>IF(ISBLANK(AF6),IF(COUNTIF($C6:$W6,Z$1)&gt;0,"ERROR",""),IF(COUNTIF($C6:$W6,Z$1)&lt;1,"NEEDS COVERAGE",IF(COUNTIF($C6:$W6,Z$1)&gt;1,"ERROR",IF(ISNA(INDEX($C$1:$W$1,MATCH(Z$1,$C6:$W6,0))),"",INDEX($C$1:$W$1,MATCH(Z$1,$C6:$W6,0))))))</f>
        <v>Torres</v>
      </c>
      <c r="AA6" s="2" t="str">
        <f>IF(ISBLANK(AG6),IF(COUNTIF($C6:$W6,AA$1)&gt;0,"ERROR",""),IF(COUNTIF($C6:$W6,AA$1)&lt;1,"NEEDS COVERAGE",IF(COUNTIF($C6:$W6,AA$1)&gt;1,"ERROR",IF(ISNA(INDEX($C$1:$W$1,MATCH(AA$1,$C6:$W6,0))),"",INDEX($C$1:$W$1,MATCH(AA$1,$C6:$W6,0))))))</f>
        <v>Hill (Kirk)</v>
      </c>
      <c r="AB6" s="2" t="str">
        <f>IF(ISBLANK(AH6),IF(COUNTIF($C6:$W6,AB$1)&gt;0,"ERROR",""),IF(COUNTIF($C6:$W6,AB$1)&lt;1,"NEEDS COVERAGE",IF(COUNTIF($C6:$W6,AB$1)&gt;1,"ERROR",IF(ISNA(INDEX($C$1:$W$1,MATCH(AB$1,$C6:$W6,0))),"",INDEX($C$1:$W$1,MATCH(AB$1,$C6:$W6,0))))))</f>
        <v>Yeh</v>
      </c>
      <c r="AC6" s="2" t="str">
        <f>IF(ISBLANK(AI6),IF(COUNTIF($C6:$W6,AC$1)&gt;0,"ERROR",""),IF(COUNTIF($C6:$W6,AC$1)&lt;1,"NEEDS COVERAGE",IF(COUNTIF($C6:$W6,AC$1)&gt;1,"ERROR",IF(ISNA(INDEX($C$1:$W$1,MATCH(AC$1,$C6:$W6,0))),"",INDEX($C$1:$W$1,MATCH(AC$1,$C6:$W6,0))))))</f>
        <v/>
      </c>
      <c r="AD6" s="2" t="str">
        <f>IF(ISBLANK(AJ6),IF(COUNTIF($C6:$W6,AD$1)&gt;0,"ERROR",""),IF(COUNTIF($C6:$W6,AD$1)&lt;1,"NEEDS COVERAGE",IF(COUNTIF($C6:$W6,AD$1)&gt;1,"ERROR",IF(ISNA(INDEX($C$1:$W$1,MATCH(AD$1,$C6:$W6,0))),"",INDEX($C$1:$W$1,MATCH(AD$1,$C6:$W6,0))))))</f>
        <v>NEEDS COVERAGE</v>
      </c>
      <c r="AE6" s="21"/>
      <c r="AF6" s="2" t="s">
        <v>11</v>
      </c>
      <c r="AG6" s="2" t="s">
        <v>11</v>
      </c>
      <c r="AH6" s="2" t="s">
        <v>11</v>
      </c>
      <c r="AI6" s="2"/>
      <c r="AJ6" s="2" t="s">
        <v>11</v>
      </c>
    </row>
    <row r="7" spans="1:36" x14ac:dyDescent="0.25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2" t="s">
        <v>11</v>
      </c>
      <c r="L7" s="2"/>
      <c r="M7" s="2"/>
      <c r="N7" s="2" t="s">
        <v>11</v>
      </c>
      <c r="O7" s="2"/>
      <c r="P7" s="2" t="s">
        <v>35</v>
      </c>
      <c r="Q7" s="2"/>
      <c r="R7" s="3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 t="s">
        <v>11</v>
      </c>
      <c r="Z7" s="2" t="str">
        <f>IF(ISBLANK(AF7),IF(COUNTIF($C7:$W7,Z$1)&gt;0,"ERROR",""),IF(COUNTIF($C7:$W7,Z$1)&lt;1,"NEEDS COVERAGE",IF(COUNTIF($C7:$W7,Z$1)&gt;1,"ERROR",IF(ISNA(INDEX($C$1:$W$1,MATCH(Z$1,$C7:$W7,0))),"",INDEX($C$1:$W$1,MATCH(Z$1,$C7:$W7,0))))))</f>
        <v>Tam</v>
      </c>
      <c r="AA7" s="2" t="str">
        <f>IF(ISBLANK(AG7),IF(COUNTIF($C7:$W7,AA$1)&gt;0,"ERROR",""),IF(COUNTIF($C7:$W7,AA$1)&lt;1,"NEEDS COVERAGE",IF(COUNTIF($C7:$W7,AA$1)&gt;1,"ERROR",IF(ISNA(INDEX($C$1:$W$1,MATCH(AA$1,$C7:$W7,0))),"",INDEX($C$1:$W$1,MATCH(AA$1,$C7:$W7,0))))))</f>
        <v>Okolo</v>
      </c>
      <c r="AB7" s="2" t="str">
        <f>IF(ISBLANK(AH7),IF(COUNTIF($C7:$W7,AB$1)&gt;0,"ERROR",""),IF(COUNTIF($C7:$W7,AB$1)&lt;1,"NEEDS COVERAGE",IF(COUNTIF($C7:$W7,AB$1)&gt;1,"ERROR",IF(ISNA(INDEX($C$1:$W$1,MATCH(AB$1,$C7:$W7,0))),"",INDEX($C$1:$W$1,MATCH(AB$1,$C7:$W7,0))))))</f>
        <v/>
      </c>
      <c r="AC7" s="2" t="str">
        <f>IF(ISBLANK(AI7),IF(COUNTIF($C7:$W7,AC$1)&gt;0,"ERROR",""),IF(COUNTIF($C7:$W7,AC$1)&lt;1,"NEEDS COVERAGE",IF(COUNTIF($C7:$W7,AC$1)&gt;1,"ERROR",IF(ISNA(INDEX($C$1:$W$1,MATCH(AC$1,$C7:$W7,0))),"",INDEX($C$1:$W$1,MATCH(AC$1,$C7:$W7,0))))))</f>
        <v/>
      </c>
      <c r="AD7" s="2" t="str">
        <f>IF(ISBLANK(AJ7),IF(COUNTIF($C7:$W7,AD$1)&gt;0,"ERROR",""),IF(COUNTIF($C7:$W7,AD$1)&lt;1,"NEEDS COVERAGE",IF(COUNTIF($C7:$W7,AD$1)&gt;1,"ERROR",IF(ISNA(INDEX($C$1:$W$1,MATCH(AD$1,$C7:$W7,0))),"",INDEX($C$1:$W$1,MATCH(AD$1,$C7:$W7,0))))))</f>
        <v>Theisen</v>
      </c>
      <c r="AE7" s="21"/>
      <c r="AF7" s="2" t="s">
        <v>11</v>
      </c>
      <c r="AG7" s="2" t="s">
        <v>11</v>
      </c>
      <c r="AH7" s="2"/>
      <c r="AI7" s="2"/>
      <c r="AJ7" s="2" t="s">
        <v>11</v>
      </c>
    </row>
    <row r="8" spans="1:36" x14ac:dyDescent="0.25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2" t="s">
        <v>11</v>
      </c>
      <c r="L8" s="2" t="s">
        <v>2</v>
      </c>
      <c r="M8" s="2"/>
      <c r="N8" s="2" t="s">
        <v>11</v>
      </c>
      <c r="O8" s="2"/>
      <c r="P8" s="2"/>
      <c r="Q8" s="2" t="s">
        <v>35</v>
      </c>
      <c r="R8" s="3" t="s">
        <v>11</v>
      </c>
      <c r="S8" s="2" t="s">
        <v>11</v>
      </c>
      <c r="T8" s="2"/>
      <c r="U8" s="2" t="s">
        <v>11</v>
      </c>
      <c r="V8" s="2" t="s">
        <v>11</v>
      </c>
      <c r="W8" s="2" t="s">
        <v>11</v>
      </c>
      <c r="Z8" s="2" t="str">
        <f>IF(ISBLANK(AF8),IF(COUNTIF($C8:$W8,Z$1)&gt;0,"ERROR",""),IF(COUNTIF($C8:$W8,Z$1)&lt;1,"NEEDS COVERAGE",IF(COUNTIF($C8:$W8,Z$1)&gt;1,"ERROR",IF(ISNA(INDEX($C$1:$W$1,MATCH(Z$1,$C8:$W8,0))),"",INDEX($C$1:$W$1,MATCH(Z$1,$C8:$W8,0))))))</f>
        <v>Yeh</v>
      </c>
      <c r="AA8" s="2" t="str">
        <f>IF(ISBLANK(AG8),IF(COUNTIF($C8:$W8,AA$1)&gt;0,"ERROR",""),IF(COUNTIF($C8:$W8,AA$1)&lt;1,"NEEDS COVERAGE",IF(COUNTIF($C8:$W8,AA$1)&gt;1,"ERROR",IF(ISNA(INDEX($C$1:$W$1,MATCH(AA$1,$C8:$W8,0))),"",INDEX($C$1:$W$1,MATCH(AA$1,$C8:$W8,0))))))</f>
        <v>Siow</v>
      </c>
      <c r="AB8" s="2" t="str">
        <f>IF(ISBLANK(AH8),IF(COUNTIF($C8:$W8,AB$1)&gt;0,"ERROR",""),IF(COUNTIF($C8:$W8,AB$1)&lt;1,"NEEDS COVERAGE",IF(COUNTIF($C8:$W8,AB$1)&gt;1,"ERROR",IF(ISNA(INDEX($C$1:$W$1,MATCH(AB$1,$C8:$W8,0))),"",INDEX($C$1:$W$1,MATCH(AB$1,$C8:$W8,0))))))</f>
        <v/>
      </c>
      <c r="AC8" s="2" t="str">
        <f>IF(ISBLANK(AI8),IF(COUNTIF($C8:$W8,AC$1)&gt;0,"ERROR",""),IF(COUNTIF($C8:$W8,AC$1)&lt;1,"NEEDS COVERAGE",IF(COUNTIF($C8:$W8,AC$1)&gt;1,"ERROR",IF(ISNA(INDEX($C$1:$W$1,MATCH(AC$1,$C8:$W8,0))),"",INDEX($C$1:$W$1,MATCH(AC$1,$C8:$W8,0))))))</f>
        <v>Dyer</v>
      </c>
      <c r="AD8" s="2" t="str">
        <f>IF(ISBLANK(AJ8),IF(COUNTIF($C8:$W8,AD$1)&gt;0,"ERROR",""),IF(COUNTIF($C8:$W8,AD$1)&lt;1,"NEEDS COVERAGE",IF(COUNTIF($C8:$W8,AD$1)&gt;1,"ERROR",IF(ISNA(INDEX($C$1:$W$1,MATCH(AD$1,$C8:$W8,0))),"",INDEX($C$1:$W$1,MATCH(AD$1,$C8:$W8,0))))))</f>
        <v>NEEDS COVERAGE</v>
      </c>
      <c r="AE8" s="21"/>
      <c r="AF8" s="2" t="s">
        <v>11</v>
      </c>
      <c r="AG8" s="2" t="s">
        <v>11</v>
      </c>
      <c r="AH8" s="2"/>
      <c r="AI8" s="2" t="s">
        <v>11</v>
      </c>
      <c r="AJ8" s="2" t="s">
        <v>11</v>
      </c>
    </row>
    <row r="9" spans="1:36" x14ac:dyDescent="0.25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2" t="s">
        <v>11</v>
      </c>
      <c r="L9" s="2"/>
      <c r="M9" s="2"/>
      <c r="N9" s="2" t="s">
        <v>11</v>
      </c>
      <c r="O9" s="2"/>
      <c r="P9" s="2" t="s">
        <v>11</v>
      </c>
      <c r="Q9" s="2" t="s">
        <v>11</v>
      </c>
      <c r="R9" s="3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 t="s">
        <v>11</v>
      </c>
      <c r="Z9" s="2" t="str">
        <f>IF(ISBLANK(AF9),IF(COUNTIF($C9:$W9,Z$1)&gt;0,"ERROR",""),IF(COUNTIF($C9:$W9,Z$1)&lt;1,"NEEDS COVERAGE",IF(COUNTIF($C9:$W9,Z$1)&gt;1,"ERROR",IF(ISNA(INDEX($C$1:$W$1,MATCH(Z$1,$C9:$W9,0))),"",INDEX($C$1:$W$1,MATCH(Z$1,$C9:$W9,0))))))</f>
        <v/>
      </c>
      <c r="AA9" s="2" t="str">
        <f>IF(ISBLANK(AG9),IF(COUNTIF($C9:$W9,AA$1)&gt;0,"ERROR",""),IF(COUNTIF($C9:$W9,AA$1)&lt;1,"NEEDS COVERAGE",IF(COUNTIF($C9:$W9,AA$1)&gt;1,"ERROR",IF(ISNA(INDEX($C$1:$W$1,MATCH(AA$1,$C9:$W9,0))),"",INDEX($C$1:$W$1,MATCH(AA$1,$C9:$W9,0))))))</f>
        <v>Tam</v>
      </c>
      <c r="AB9" s="2" t="str">
        <f>IF(ISBLANK(AH9),IF(COUNTIF($C9:$W9,AB$1)&gt;0,"ERROR",""),IF(COUNTIF($C9:$W9,AB$1)&lt;1,"NEEDS COVERAGE",IF(COUNTIF($C9:$W9,AB$1)&gt;1,"ERROR",IF(ISNA(INDEX($C$1:$W$1,MATCH(AB$1,$C9:$W9,0))),"",INDEX($C$1:$W$1,MATCH(AB$1,$C9:$W9,0))))))</f>
        <v/>
      </c>
      <c r="AC9" s="2" t="str">
        <f>IF(ISBLANK(AI9),IF(COUNTIF($C9:$W9,AC$1)&gt;0,"ERROR",""),IF(COUNTIF($C9:$W9,AC$1)&lt;1,"NEEDS COVERAGE",IF(COUNTIF($C9:$W9,AC$1)&gt;1,"ERROR",IF(ISNA(INDEX($C$1:$W$1,MATCH(AC$1,$C9:$W9,0))),"",INDEX($C$1:$W$1,MATCH(AC$1,$C9:$W9,0))))))</f>
        <v/>
      </c>
      <c r="AD9" s="2" t="str">
        <f>IF(ISBLANK(AJ9),IF(COUNTIF($C9:$W9,AD$1)&gt;0,"ERROR",""),IF(COUNTIF($C9:$W9,AD$1)&lt;1,"NEEDS COVERAGE",IF(COUNTIF($C9:$W9,AD$1)&gt;1,"ERROR",IF(ISNA(INDEX($C$1:$W$1,MATCH(AD$1,$C9:$W9,0))),"",INDEX($C$1:$W$1,MATCH(AD$1,$C9:$W9,0))))))</f>
        <v>Theisen</v>
      </c>
      <c r="AE9" s="21"/>
      <c r="AF9" s="2"/>
      <c r="AG9" s="2" t="s">
        <v>11</v>
      </c>
      <c r="AH9" s="2"/>
      <c r="AI9" s="2"/>
      <c r="AJ9" s="2" t="s">
        <v>11</v>
      </c>
    </row>
    <row r="10" spans="1:36" x14ac:dyDescent="0.25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2" t="s">
        <v>11</v>
      </c>
      <c r="M10" s="2" t="s">
        <v>11</v>
      </c>
      <c r="N10" s="2" t="s">
        <v>11</v>
      </c>
      <c r="O10" s="2" t="s">
        <v>2</v>
      </c>
      <c r="P10" s="2"/>
      <c r="Q10" s="2" t="s">
        <v>11</v>
      </c>
      <c r="R10" s="3" t="s">
        <v>11</v>
      </c>
      <c r="S10" s="2" t="s">
        <v>11</v>
      </c>
      <c r="T10" s="2"/>
      <c r="U10" s="2" t="s">
        <v>3</v>
      </c>
      <c r="V10" s="2" t="s">
        <v>11</v>
      </c>
      <c r="W10" s="2" t="s">
        <v>11</v>
      </c>
      <c r="Z10" s="2" t="str">
        <f>IF(ISBLANK(AF10),IF(COUNTIF($C10:$W10,Z$1)&gt;0,"ERROR",""),IF(COUNTIF($C10:$W10,Z$1)&lt;1,"NEEDS COVERAGE",IF(COUNTIF($C10:$W10,Z$1)&gt;1,"ERROR",IF(ISNA(INDEX($C$1:$W$1,MATCH(Z$1,$C10:$W10,0))),"",INDEX($C$1:$W$1,MATCH(Z$1,$C10:$W10,0))))))</f>
        <v>Hill (Kirk)</v>
      </c>
      <c r="AA10" s="2" t="str">
        <f>IF(ISBLANK(AG10),IF(COUNTIF($C10:$W10,AA$1)&gt;0,"ERROR",""),IF(COUNTIF($C10:$W10,AA$1)&lt;1,"NEEDS COVERAGE",IF(COUNTIF($C10:$W10,AA$1)&gt;1,"ERROR",IF(ISNA(INDEX($C$1:$W$1,MATCH(AA$1,$C10:$W10,0))),"",INDEX($C$1:$W$1,MATCH(AA$1,$C10:$W10,0))))))</f>
        <v/>
      </c>
      <c r="AB10" s="2" t="str">
        <f>IF(ISBLANK(AH10),IF(COUNTIF($C10:$W10,AB$1)&gt;0,"ERROR",""),IF(COUNTIF($C10:$W10,AB$1)&lt;1,"NEEDS COVERAGE",IF(COUNTIF($C10:$W10,AB$1)&gt;1,"ERROR",IF(ISNA(INDEX($C$1:$W$1,MATCH(AB$1,$C10:$W10,0))),"",INDEX($C$1:$W$1,MATCH(AB$1,$C10:$W10,0))))))</f>
        <v/>
      </c>
      <c r="AC10" s="2" t="str">
        <f>IF(ISBLANK(AI10),IF(COUNTIF($C10:$W10,AC$1)&gt;0,"ERROR",""),IF(COUNTIF($C10:$W10,AC$1)&lt;1,"NEEDS COVERAGE",IF(COUNTIF($C10:$W10,AC$1)&gt;1,"ERROR",IF(ISNA(INDEX($C$1:$W$1,MATCH(AC$1,$C10:$W10,0))),"",INDEX($C$1:$W$1,MATCH(AC$1,$C10:$W10,0))))))</f>
        <v/>
      </c>
      <c r="AD10" s="2" t="str">
        <f>IF(ISBLANK(AJ10),IF(COUNTIF($C10:$W10,AD$1)&gt;0,"ERROR",""),IF(COUNTIF($C10:$W10,AD$1)&lt;1,"NEEDS COVERAGE",IF(COUNTIF($C10:$W10,AD$1)&gt;1,"ERROR",IF(ISNA(INDEX($C$1:$W$1,MATCH(AD$1,$C10:$W10,0))),"",INDEX($C$1:$W$1,MATCH(AD$1,$C10:$W10,0))))))</f>
        <v>Chen</v>
      </c>
      <c r="AE10" s="21"/>
      <c r="AF10" s="2" t="s">
        <v>11</v>
      </c>
      <c r="AG10" s="2"/>
      <c r="AH10" s="2"/>
      <c r="AI10" s="2"/>
      <c r="AJ10" s="2" t="s">
        <v>11</v>
      </c>
    </row>
    <row r="11" spans="1:36" x14ac:dyDescent="0.25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2" t="s">
        <v>11</v>
      </c>
      <c r="M11" s="2" t="s">
        <v>11</v>
      </c>
      <c r="N11" s="2" t="s">
        <v>11</v>
      </c>
      <c r="O11" s="2" t="s">
        <v>11</v>
      </c>
      <c r="P11" s="2" t="s">
        <v>31</v>
      </c>
      <c r="Q11" s="2" t="s">
        <v>11</v>
      </c>
      <c r="R11" s="3" t="s">
        <v>11</v>
      </c>
      <c r="S11" s="2" t="s">
        <v>11</v>
      </c>
      <c r="T11" s="2"/>
      <c r="U11" s="2" t="s">
        <v>11</v>
      </c>
      <c r="V11" s="2" t="s">
        <v>11</v>
      </c>
      <c r="W11" s="2" t="s">
        <v>11</v>
      </c>
      <c r="Z11" s="2" t="str">
        <f>IF(ISBLANK(AF11),IF(COUNTIF($C11:$W11,Z$1)&gt;0,"ERROR",""),IF(COUNTIF($C11:$W11,Z$1)&lt;1,"NEEDS COVERAGE",IF(COUNTIF($C11:$W11,Z$1)&gt;1,"ERROR",IF(ISNA(INDEX($C$1:$W$1,MATCH(Z$1,$C11:$W11,0))),"",INDEX($C$1:$W$1,MATCH(Z$1,$C11:$W11,0))))))</f>
        <v/>
      </c>
      <c r="AA11" s="2" t="str">
        <f>IF(ISBLANK(AG11),IF(COUNTIF($C11:$W11,AA$1)&gt;0,"ERROR",""),IF(COUNTIF($C11:$W11,AA$1)&lt;1,"NEEDS COVERAGE",IF(COUNTIF($C11:$W11,AA$1)&gt;1,"ERROR",IF(ISNA(INDEX($C$1:$W$1,MATCH(AA$1,$C11:$W11,0))),"",INDEX($C$1:$W$1,MATCH(AA$1,$C11:$W11,0))))))</f>
        <v/>
      </c>
      <c r="AB11" s="2" t="str">
        <f>IF(ISBLANK(AH11),IF(COUNTIF($C11:$W11,AB$1)&gt;0,"ERROR",""),IF(COUNTIF($C11:$W11,AB$1)&lt;1,"NEEDS COVERAGE",IF(COUNTIF($C11:$W11,AB$1)&gt;1,"ERROR",IF(ISNA(INDEX($C$1:$W$1,MATCH(AB$1,$C11:$W11,0))),"",INDEX($C$1:$W$1,MATCH(AB$1,$C11:$W11,0))))))</f>
        <v/>
      </c>
      <c r="AC11" s="2" t="str">
        <f>IF(ISBLANK(AI11),IF(COUNTIF($C11:$W11,AC$1)&gt;0,"ERROR",""),IF(COUNTIF($C11:$W11,AC$1)&lt;1,"NEEDS COVERAGE",IF(COUNTIF($C11:$W11,AC$1)&gt;1,"ERROR",IF(ISNA(INDEX($C$1:$W$1,MATCH(AC$1,$C11:$W11,0))),"",INDEX($C$1:$W$1,MATCH(AC$1,$C11:$W11,0))))))</f>
        <v>Okolo</v>
      </c>
      <c r="AD11" s="2" t="str">
        <f>IF(ISBLANK(AJ11),IF(COUNTIF($C11:$W11,AD$1)&gt;0,"ERROR",""),IF(COUNTIF($C11:$W11,AD$1)&lt;1,"NEEDS COVERAGE",IF(COUNTIF($C11:$W11,AD$1)&gt;1,"ERROR",IF(ISNA(INDEX($C$1:$W$1,MATCH(AD$1,$C11:$W11,0))),"",INDEX($C$1:$W$1,MATCH(AD$1,$C11:$W11,0))))))</f>
        <v>NEEDS COVERAGE</v>
      </c>
      <c r="AE11" s="21"/>
      <c r="AF11" s="2"/>
      <c r="AG11" s="2"/>
      <c r="AH11" s="2"/>
      <c r="AI11" s="2" t="s">
        <v>11</v>
      </c>
      <c r="AJ11" s="2" t="s">
        <v>11</v>
      </c>
    </row>
    <row r="12" spans="1:36" x14ac:dyDescent="0.25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2" t="s">
        <v>11</v>
      </c>
      <c r="M12" s="2" t="s">
        <v>11</v>
      </c>
      <c r="N12" s="2" t="s">
        <v>11</v>
      </c>
      <c r="O12" s="2" t="s">
        <v>11</v>
      </c>
      <c r="P12" s="2" t="s">
        <v>35</v>
      </c>
      <c r="Q12" s="2" t="s">
        <v>11</v>
      </c>
      <c r="R12" s="3" t="s">
        <v>11</v>
      </c>
      <c r="S12" s="2" t="s">
        <v>11</v>
      </c>
      <c r="T12" s="2" t="s">
        <v>11</v>
      </c>
      <c r="U12" s="2" t="s">
        <v>11</v>
      </c>
      <c r="V12" s="2"/>
      <c r="W12" s="2" t="s">
        <v>11</v>
      </c>
      <c r="Z12" s="2" t="str">
        <f>IF(ISBLANK(AF12),IF(COUNTIF($C12:$W12,Z$1)&gt;0,"ERROR",""),IF(COUNTIF($C12:$W12,Z$1)&lt;1,"NEEDS COVERAGE",IF(COUNTIF($C12:$W12,Z$1)&gt;1,"ERROR",IF(ISNA(INDEX($C$1:$W$1,MATCH(Z$1,$C12:$W12,0))),"",INDEX($C$1:$W$1,MATCH(Z$1,$C12:$W12,0))))))</f>
        <v/>
      </c>
      <c r="AA12" s="2" t="str">
        <f>IF(ISBLANK(AG12),IF(COUNTIF($C12:$W12,AA$1)&gt;0,"ERROR",""),IF(COUNTIF($C12:$W12,AA$1)&lt;1,"NEEDS COVERAGE",IF(COUNTIF($C12:$W12,AA$1)&gt;1,"ERROR",IF(ISNA(INDEX($C$1:$W$1,MATCH(AA$1,$C12:$W12,0))),"",INDEX($C$1:$W$1,MATCH(AA$1,$C12:$W12,0))))))</f>
        <v>Okolo</v>
      </c>
      <c r="AB12" s="2" t="str">
        <f>IF(ISBLANK(AH12),IF(COUNTIF($C12:$W12,AB$1)&gt;0,"ERROR",""),IF(COUNTIF($C12:$W12,AB$1)&lt;1,"NEEDS COVERAGE",IF(COUNTIF($C12:$W12,AB$1)&gt;1,"ERROR",IF(ISNA(INDEX($C$1:$W$1,MATCH(AB$1,$C12:$W12,0))),"",INDEX($C$1:$W$1,MATCH(AB$1,$C12:$W12,0))))))</f>
        <v/>
      </c>
      <c r="AC12" s="2" t="str">
        <f>IF(ISBLANK(AI12),IF(COUNTIF($C12:$W12,AC$1)&gt;0,"ERROR",""),IF(COUNTIF($C12:$W12,AC$1)&lt;1,"NEEDS COVERAGE",IF(COUNTIF($C12:$W12,AC$1)&gt;1,"ERROR",IF(ISNA(INDEX($C$1:$W$1,MATCH(AC$1,$C12:$W12,0))),"",INDEX($C$1:$W$1,MATCH(AC$1,$C12:$W12,0))))))</f>
        <v/>
      </c>
      <c r="AD12" s="2" t="str">
        <f>IF(ISBLANK(AJ12),IF(COUNTIF($C12:$W12,AD$1)&gt;0,"ERROR",""),IF(COUNTIF($C12:$W12,AD$1)&lt;1,"NEEDS COVERAGE",IF(COUNTIF($C12:$W12,AD$1)&gt;1,"ERROR",IF(ISNA(INDEX($C$1:$W$1,MATCH(AD$1,$C12:$W12,0))),"",INDEX($C$1:$W$1,MATCH(AD$1,$C12:$W12,0))))))</f>
        <v>NEEDS COVERAGE</v>
      </c>
      <c r="AE12" s="21"/>
      <c r="AF12" s="2"/>
      <c r="AG12" s="2" t="s">
        <v>11</v>
      </c>
      <c r="AH12" s="2"/>
      <c r="AI12" s="2"/>
      <c r="AJ12" s="2" t="s">
        <v>11</v>
      </c>
    </row>
    <row r="13" spans="1:36" ht="15" customHeight="1" x14ac:dyDescent="0.25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2" t="s">
        <v>31</v>
      </c>
      <c r="M13" s="2"/>
      <c r="N13" s="2" t="s">
        <v>11</v>
      </c>
      <c r="O13" s="2" t="s">
        <v>11</v>
      </c>
      <c r="P13" s="2"/>
      <c r="Q13" s="2" t="s">
        <v>11</v>
      </c>
      <c r="R13" s="3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 t="s">
        <v>11</v>
      </c>
      <c r="Z13" s="2" t="str">
        <f>IF(ISBLANK(AF13),IF(COUNTIF($C13:$W13,Z$1)&gt;0,"ERROR",""),IF(COUNTIF($C13:$W13,Z$1)&lt;1,"NEEDS COVERAGE",IF(COUNTIF($C13:$W13,Z$1)&gt;1,"ERROR",IF(ISNA(INDEX($C$1:$W$1,MATCH(Z$1,$C13:$W13,0))),"",INDEX($C$1:$W$1,MATCH(Z$1,$C13:$W13,0))))))</f>
        <v>Torres</v>
      </c>
      <c r="AA13" s="2" t="str">
        <f>IF(ISBLANK(AG13),IF(COUNTIF($C13:$W13,AA$1)&gt;0,"ERROR",""),IF(COUNTIF($C13:$W13,AA$1)&lt;1,"NEEDS COVERAGE",IF(COUNTIF($C13:$W13,AA$1)&gt;1,"ERROR",IF(ISNA(INDEX($C$1:$W$1,MATCH(AA$1,$C13:$W13,0))),"",INDEX($C$1:$W$1,MATCH(AA$1,$C13:$W13,0))))))</f>
        <v>Tam</v>
      </c>
      <c r="AB13" s="2" t="str">
        <f>IF(ISBLANK(AH13),IF(COUNTIF($C13:$W13,AB$1)&gt;0,"ERROR",""),IF(COUNTIF($C13:$W13,AB$1)&lt;1,"NEEDS COVERAGE",IF(COUNTIF($C13:$W13,AB$1)&gt;1,"ERROR",IF(ISNA(INDEX($C$1:$W$1,MATCH(AB$1,$C13:$W13,0))),"",INDEX($C$1:$W$1,MATCH(AB$1,$C13:$W13,0))))))</f>
        <v/>
      </c>
      <c r="AC13" s="2" t="str">
        <f>IF(ISBLANK(AI13),IF(COUNTIF($C13:$W13,AC$1)&gt;0,"ERROR",""),IF(COUNTIF($C13:$W13,AC$1)&lt;1,"NEEDS COVERAGE",IF(COUNTIF($C13:$W13,AC$1)&gt;1,"ERROR",IF(ISNA(INDEX($C$1:$W$1,MATCH(AC$1,$C13:$W13,0))),"",INDEX($C$1:$W$1,MATCH(AC$1,$C13:$W13,0))))))</f>
        <v>Yeh</v>
      </c>
      <c r="AD13" s="2" t="str">
        <f>IF(ISBLANK(AJ13),IF(COUNTIF($C13:$W13,AD$1)&gt;0,"ERROR",""),IF(COUNTIF($C13:$W13,AD$1)&lt;1,"NEEDS COVERAGE",IF(COUNTIF($C13:$W13,AD$1)&gt;1,"ERROR",IF(ISNA(INDEX($C$1:$W$1,MATCH(AD$1,$C13:$W13,0))),"",INDEX($C$1:$W$1,MATCH(AD$1,$C13:$W13,0))))))</f>
        <v>NEEDS COVERAGE</v>
      </c>
      <c r="AE13" s="21"/>
      <c r="AF13" s="2" t="s">
        <v>11</v>
      </c>
      <c r="AG13" s="2" t="s">
        <v>11</v>
      </c>
      <c r="AH13" s="2"/>
      <c r="AI13" s="2" t="s">
        <v>11</v>
      </c>
      <c r="AJ13" s="2" t="s">
        <v>11</v>
      </c>
    </row>
    <row r="14" spans="1:36" x14ac:dyDescent="0.25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2" t="s">
        <v>11</v>
      </c>
      <c r="L14" s="2" t="s">
        <v>31</v>
      </c>
      <c r="M14" s="2" t="s">
        <v>35</v>
      </c>
      <c r="N14" s="2" t="s">
        <v>11</v>
      </c>
      <c r="O14" s="2" t="s">
        <v>11</v>
      </c>
      <c r="P14" s="2"/>
      <c r="Q14" s="2" t="s">
        <v>11</v>
      </c>
      <c r="R14" s="3"/>
      <c r="S14" s="2" t="s">
        <v>11</v>
      </c>
      <c r="T14" s="2"/>
      <c r="U14" s="2" t="s">
        <v>11</v>
      </c>
      <c r="V14" s="2" t="s">
        <v>3</v>
      </c>
      <c r="W14" s="2" t="s">
        <v>11</v>
      </c>
      <c r="Z14" s="2" t="str">
        <f>IF(ISBLANK(AF14),IF(COUNTIF($C14:$W14,Z$1)&gt;0,"ERROR",""),IF(COUNTIF($C14:$W14,Z$1)&lt;1,"NEEDS COVERAGE",IF(COUNTIF($C14:$W14,Z$1)&gt;1,"ERROR",IF(ISNA(INDEX($C$1:$W$1,MATCH(Z$1,$C14:$W14,0))),"",INDEX($C$1:$W$1,MATCH(Z$1,$C14:$W14,0))))))</f>
        <v>Dyer</v>
      </c>
      <c r="AA14" s="2" t="str">
        <f>IF(ISBLANK(AG14),IF(COUNTIF($C14:$W14,AA$1)&gt;0,"ERROR",""),IF(COUNTIF($C14:$W14,AA$1)&lt;1,"NEEDS COVERAGE",IF(COUNTIF($C14:$W14,AA$1)&gt;1,"ERROR",IF(ISNA(INDEX($C$1:$W$1,MATCH(AA$1,$C14:$W14,0))),"",INDEX($C$1:$W$1,MATCH(AA$1,$C14:$W14,0))))))</f>
        <v>Griepentrog</v>
      </c>
      <c r="AB14" s="2" t="str">
        <f>IF(ISBLANK(AH14),IF(COUNTIF($C14:$W14,AB$1)&gt;0,"ERROR",""),IF(COUNTIF($C14:$W14,AB$1)&lt;1,"NEEDS COVERAGE",IF(COUNTIF($C14:$W14,AB$1)&gt;1,"ERROR",IF(ISNA(INDEX($C$1:$W$1,MATCH(AB$1,$C14:$W14,0))),"",INDEX($C$1:$W$1,MATCH(AB$1,$C14:$W14,0))))))</f>
        <v/>
      </c>
      <c r="AC14" s="2" t="str">
        <f>IF(ISBLANK(AI14),IF(COUNTIF($C14:$W14,AC$1)&gt;0,"ERROR",""),IF(COUNTIF($C14:$W14,AC$1)&lt;1,"NEEDS COVERAGE",IF(COUNTIF($C14:$W14,AC$1)&gt;1,"ERROR",IF(ISNA(INDEX($C$1:$W$1,MATCH(AC$1,$C14:$W14,0))),"",INDEX($C$1:$W$1,MATCH(AC$1,$C14:$W14,0))))))</f>
        <v>Yeh</v>
      </c>
      <c r="AD14" s="2" t="str">
        <f>IF(ISBLANK(AJ14),IF(COUNTIF($C14:$W14,AD$1)&gt;0,"ERROR",""),IF(COUNTIF($C14:$W14,AD$1)&lt;1,"NEEDS COVERAGE",IF(COUNTIF($C14:$W14,AD$1)&gt;1,"ERROR",IF(ISNA(INDEX($C$1:$W$1,MATCH(AD$1,$C14:$W14,0))),"",INDEX($C$1:$W$1,MATCH(AD$1,$C14:$W14,0))))))</f>
        <v>Schusterman</v>
      </c>
      <c r="AE14" s="21"/>
      <c r="AF14" s="2" t="s">
        <v>11</v>
      </c>
      <c r="AG14" s="2" t="s">
        <v>11</v>
      </c>
      <c r="AH14" s="2"/>
      <c r="AI14" s="2" t="s">
        <v>11</v>
      </c>
      <c r="AJ14" s="2" t="s">
        <v>11</v>
      </c>
    </row>
    <row r="15" spans="1:36" x14ac:dyDescent="0.25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2" t="s">
        <v>11</v>
      </c>
      <c r="L15" s="2"/>
      <c r="M15" s="2"/>
      <c r="N15" s="2" t="s">
        <v>11</v>
      </c>
      <c r="O15" s="2"/>
      <c r="P15" s="2" t="s">
        <v>2</v>
      </c>
      <c r="Q15" s="2" t="s">
        <v>11</v>
      </c>
      <c r="R15" s="3" t="s">
        <v>11</v>
      </c>
      <c r="S15" s="2" t="s">
        <v>11</v>
      </c>
      <c r="T15" s="2"/>
      <c r="U15" s="2" t="s">
        <v>11</v>
      </c>
      <c r="V15" s="2" t="s">
        <v>11</v>
      </c>
      <c r="W15" s="2" t="s">
        <v>11</v>
      </c>
      <c r="Z15" s="2" t="str">
        <f>IF(ISBLANK(AF15),IF(COUNTIF($C15:$W15,Z$1)&gt;0,"ERROR",""),IF(COUNTIF($C15:$W15,Z$1)&lt;1,"NEEDS COVERAGE",IF(COUNTIF($C15:$W15,Z$1)&gt;1,"ERROR",IF(ISNA(INDEX($C$1:$W$1,MATCH(Z$1,$C15:$W15,0))),"",INDEX($C$1:$W$1,MATCH(Z$1,$C15:$W15,0))))))</f>
        <v>Okolo</v>
      </c>
      <c r="AA15" s="2" t="str">
        <f>IF(ISBLANK(AG15),IF(COUNTIF($C15:$W15,AA$1)&gt;0,"ERROR",""),IF(COUNTIF($C15:$W15,AA$1)&lt;1,"NEEDS COVERAGE",IF(COUNTIF($C15:$W15,AA$1)&gt;1,"ERROR",IF(ISNA(INDEX($C$1:$W$1,MATCH(AA$1,$C15:$W15,0))),"",INDEX($C$1:$W$1,MATCH(AA$1,$C15:$W15,0))))))</f>
        <v>Torres</v>
      </c>
      <c r="AB15" s="2" t="str">
        <f>IF(ISBLANK(AH15),IF(COUNTIF($C15:$W15,AB$1)&gt;0,"ERROR",""),IF(COUNTIF($C15:$W15,AB$1)&lt;1,"NEEDS COVERAGE",IF(COUNTIF($C15:$W15,AB$1)&gt;1,"ERROR",IF(ISNA(INDEX($C$1:$W$1,MATCH(AB$1,$C15:$W15,0))),"",INDEX($C$1:$W$1,MATCH(AB$1,$C15:$W15,0))))))</f>
        <v/>
      </c>
      <c r="AC15" s="2" t="str">
        <f>IF(ISBLANK(AI15),IF(COUNTIF($C15:$W15,AC$1)&gt;0,"ERROR",""),IF(COUNTIF($C15:$W15,AC$1)&lt;1,"NEEDS COVERAGE",IF(COUNTIF($C15:$W15,AC$1)&gt;1,"ERROR",IF(ISNA(INDEX($C$1:$W$1,MATCH(AC$1,$C15:$W15,0))),"",INDEX($C$1:$W$1,MATCH(AC$1,$C15:$W15,0))))))</f>
        <v/>
      </c>
      <c r="AD15" s="2" t="str">
        <f>IF(ISBLANK(AJ15),IF(COUNTIF($C15:$W15,AD$1)&gt;0,"ERROR",""),IF(COUNTIF($C15:$W15,AD$1)&lt;1,"NEEDS COVERAGE",IF(COUNTIF($C15:$W15,AD$1)&gt;1,"ERROR",IF(ISNA(INDEX($C$1:$W$1,MATCH(AD$1,$C15:$W15,0))),"",INDEX($C$1:$W$1,MATCH(AD$1,$C15:$W15,0))))))</f>
        <v>NEEDS COVERAGE</v>
      </c>
      <c r="AE15" s="21"/>
      <c r="AF15" s="2" t="s">
        <v>11</v>
      </c>
      <c r="AG15" s="2" t="s">
        <v>11</v>
      </c>
      <c r="AH15" s="2"/>
      <c r="AI15" s="2"/>
      <c r="AJ15" s="2" t="s">
        <v>11</v>
      </c>
    </row>
    <row r="16" spans="1:36" x14ac:dyDescent="0.25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2" t="s">
        <v>11</v>
      </c>
      <c r="L16" s="2"/>
      <c r="M16" s="2"/>
      <c r="N16" s="2" t="s">
        <v>35</v>
      </c>
      <c r="O16" s="2" t="s">
        <v>3</v>
      </c>
      <c r="P16" s="2"/>
      <c r="Q16" s="2"/>
      <c r="R16" s="3"/>
      <c r="S16" s="2" t="s">
        <v>11</v>
      </c>
      <c r="T16" s="2"/>
      <c r="U16" s="2" t="s">
        <v>11</v>
      </c>
      <c r="V16" s="2" t="s">
        <v>11</v>
      </c>
      <c r="W16" s="2" t="s">
        <v>11</v>
      </c>
      <c r="Z16" s="2" t="str">
        <f>IF(ISBLANK(AF16),IF(COUNTIF($C16:$W16,Z$1)&gt;0,"ERROR",""),IF(COUNTIF($C16:$W16,Z$1)&lt;1,"NEEDS COVERAGE",IF(COUNTIF($C16:$W16,Z$1)&gt;1,"ERROR",IF(ISNA(INDEX($C$1:$W$1,MATCH(Z$1,$C16:$W16,0))),"",INDEX($C$1:$W$1,MATCH(Z$1,$C16:$W16,0))))))</f>
        <v/>
      </c>
      <c r="AA16" s="2" t="str">
        <f>IF(ISBLANK(AG16),IF(COUNTIF($C16:$W16,AA$1)&gt;0,"ERROR",""),IF(COUNTIF($C16:$W16,AA$1)&lt;1,"NEEDS COVERAGE",IF(COUNTIF($C16:$W16,AA$1)&gt;1,"ERROR",IF(ISNA(INDEX($C$1:$W$1,MATCH(AA$1,$C16:$W16,0))),"",INDEX($C$1:$W$1,MATCH(AA$1,$C16:$W16,0))))))</f>
        <v>Handzel</v>
      </c>
      <c r="AB16" s="2" t="str">
        <f>IF(ISBLANK(AH16),IF(COUNTIF($C16:$W16,AB$1)&gt;0,"ERROR",""),IF(COUNTIF($C16:$W16,AB$1)&lt;1,"NEEDS COVERAGE",IF(COUNTIF($C16:$W16,AB$1)&gt;1,"ERROR",IF(ISNA(INDEX($C$1:$W$1,MATCH(AB$1,$C16:$W16,0))),"",INDEX($C$1:$W$1,MATCH(AB$1,$C16:$W16,0))))))</f>
        <v/>
      </c>
      <c r="AC16" s="2" t="str">
        <f>IF(ISBLANK(AI16),IF(COUNTIF($C16:$W16,AC$1)&gt;0,"ERROR",""),IF(COUNTIF($C16:$W16,AC$1)&lt;1,"NEEDS COVERAGE",IF(COUNTIF($C16:$W16,AC$1)&gt;1,"ERROR",IF(ISNA(INDEX($C$1:$W$1,MATCH(AC$1,$C16:$W16,0))),"",INDEX($C$1:$W$1,MATCH(AC$1,$C16:$W16,0))))))</f>
        <v/>
      </c>
      <c r="AD16" s="2" t="str">
        <f>IF(ISBLANK(AJ16),IF(COUNTIF($C16:$W16,AD$1)&gt;0,"ERROR",""),IF(COUNTIF($C16:$W16,AD$1)&lt;1,"NEEDS COVERAGE",IF(COUNTIF($C16:$W16,AD$1)&gt;1,"ERROR",IF(ISNA(INDEX($C$1:$W$1,MATCH(AD$1,$C16:$W16,0))),"",INDEX($C$1:$W$1,MATCH(AD$1,$C16:$W16,0))))))</f>
        <v>Hill (Kirk)</v>
      </c>
      <c r="AE16" s="21"/>
      <c r="AF16" s="2"/>
      <c r="AG16" s="2" t="s">
        <v>11</v>
      </c>
      <c r="AH16" s="2"/>
      <c r="AI16" s="2"/>
      <c r="AJ16" s="2" t="s">
        <v>11</v>
      </c>
    </row>
    <row r="17" spans="1:36" x14ac:dyDescent="0.25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31</v>
      </c>
      <c r="N17" s="2"/>
      <c r="O17" s="2" t="s">
        <v>45</v>
      </c>
      <c r="P17" s="2" t="s">
        <v>11</v>
      </c>
      <c r="Q17" s="2" t="s">
        <v>2</v>
      </c>
      <c r="R17" s="3" t="s">
        <v>11</v>
      </c>
      <c r="S17" s="2" t="s">
        <v>11</v>
      </c>
      <c r="T17" s="2"/>
      <c r="U17" s="2" t="s">
        <v>11</v>
      </c>
      <c r="V17" s="2"/>
      <c r="W17" s="2" t="s">
        <v>11</v>
      </c>
      <c r="X17" s="4" t="s">
        <v>44</v>
      </c>
      <c r="Z17" s="2" t="str">
        <f>IF(ISBLANK(AF17),IF(COUNTIF($C17:$W17,Z$1)&gt;0,"ERROR",""),IF(COUNTIF($C17:$W17,Z$1)&lt;1,"NEEDS COVERAGE",IF(COUNTIF($C17:$W17,Z$1)&gt;1,"ERROR",IF(ISNA(INDEX($C$1:$W$1,MATCH(Z$1,$C17:$W17,0))),"",INDEX($C$1:$W$1,MATCH(Z$1,$C17:$W17,0))))))</f>
        <v>Siow</v>
      </c>
      <c r="AA17" s="2" t="str">
        <f>IF(ISBLANK(AG17),IF(COUNTIF($C17:$W17,AA$1)&gt;0,"ERROR",""),IF(COUNTIF($C17:$W17,AA$1)&lt;1,"NEEDS COVERAGE",IF(COUNTIF($C17:$W17,AA$1)&gt;1,"ERROR",IF(ISNA(INDEX($C$1:$W$1,MATCH(AA$1,$C17:$W17,0))),"",INDEX($C$1:$W$1,MATCH(AA$1,$C17:$W17,0))))))</f>
        <v/>
      </c>
      <c r="AB17" s="2" t="str">
        <f>IF(ISBLANK(AH17),IF(COUNTIF($C17:$W17,AB$1)&gt;0,"ERROR",""),IF(COUNTIF($C17:$W17,AB$1)&lt;1,"NEEDS COVERAGE",IF(COUNTIF($C17:$W17,AB$1)&gt;1,"ERROR",IF(ISNA(INDEX($C$1:$W$1,MATCH(AB$1,$C17:$W17,0))),"",INDEX($C$1:$W$1,MATCH(AB$1,$C17:$W17,0))))))</f>
        <v/>
      </c>
      <c r="AC17" s="2" t="str">
        <f>IF(ISBLANK(AI17),IF(COUNTIF($C17:$W17,AC$1)&gt;0,"ERROR",""),IF(COUNTIF($C17:$W17,AC$1)&lt;1,"NEEDS COVERAGE",IF(COUNTIF($C17:$W17,AC$1)&gt;1,"ERROR",IF(ISNA(INDEX($C$1:$W$1,MATCH(AC$1,$C17:$W17,0))),"",INDEX($C$1:$W$1,MATCH(AC$1,$C17:$W17,0))))))</f>
        <v>Griepentrog</v>
      </c>
      <c r="AD17" s="2" t="str">
        <f>IF(ISBLANK(AJ17),IF(COUNTIF($C17:$W17,AD$1)&gt;0,"ERROR",""),IF(COUNTIF($C17:$W17,AD$1)&lt;1,"NEEDS COVERAGE",IF(COUNTIF($C17:$W17,AD$1)&gt;1,"ERROR",IF(ISNA(INDEX($C$1:$W$1,MATCH(AD$1,$C17:$W17,0))),"",INDEX($C$1:$W$1,MATCH(AD$1,$C17:$W17,0))))))</f>
        <v>NEEDS COVERAGE</v>
      </c>
      <c r="AE17" s="21"/>
      <c r="AF17" s="2" t="s">
        <v>11</v>
      </c>
      <c r="AG17" s="2"/>
      <c r="AH17" s="2"/>
      <c r="AI17" s="2" t="s">
        <v>11</v>
      </c>
      <c r="AJ17" s="2" t="s">
        <v>11</v>
      </c>
    </row>
    <row r="18" spans="1:36" x14ac:dyDescent="0.25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/>
      <c r="N18" s="2"/>
      <c r="O18" s="2"/>
      <c r="P18" s="2"/>
      <c r="Q18" s="2"/>
      <c r="R18" s="3" t="s">
        <v>11</v>
      </c>
      <c r="S18" s="2" t="s">
        <v>11</v>
      </c>
      <c r="T18" s="2"/>
      <c r="U18" s="2" t="s">
        <v>11</v>
      </c>
      <c r="V18" s="2"/>
      <c r="W18" s="2" t="s">
        <v>11</v>
      </c>
      <c r="Z18" s="2" t="str">
        <f>IF(ISBLANK(AF18),IF(COUNTIF($C18:$W18,Z$1)&gt;0,"ERROR",""),IF(COUNTIF($C18:$W18,Z$1)&lt;1,"NEEDS COVERAGE",IF(COUNTIF($C18:$W18,Z$1)&gt;1,"ERROR",IF(ISNA(INDEX($C$1:$W$1,MATCH(Z$1,$C18:$W18,0))),"",INDEX($C$1:$W$1,MATCH(Z$1,$C18:$W18,0))))))</f>
        <v/>
      </c>
      <c r="AA18" s="2" t="str">
        <f>IF(ISBLANK(AG18),IF(COUNTIF($C18:$W18,AA$1)&gt;0,"ERROR",""),IF(COUNTIF($C18:$W18,AA$1)&lt;1,"NEEDS COVERAGE",IF(COUNTIF($C18:$W18,AA$1)&gt;1,"ERROR",IF(ISNA(INDEX($C$1:$W$1,MATCH(AA$1,$C18:$W18,0))),"",INDEX($C$1:$W$1,MATCH(AA$1,$C18:$W18,0))))))</f>
        <v/>
      </c>
      <c r="AB18" s="2" t="str">
        <f>IF(ISBLANK(AH18),IF(COUNTIF($C18:$W18,AB$1)&gt;0,"ERROR",""),IF(COUNTIF($C18:$W18,AB$1)&lt;1,"NEEDS COVERAGE",IF(COUNTIF($C18:$W18,AB$1)&gt;1,"ERROR",IF(ISNA(INDEX($C$1:$W$1,MATCH(AB$1,$C18:$W18,0))),"",INDEX($C$1:$W$1,MATCH(AB$1,$C18:$W18,0))))))</f>
        <v/>
      </c>
      <c r="AC18" s="2" t="str">
        <f>IF(ISBLANK(AI18),IF(COUNTIF($C18:$W18,AC$1)&gt;0,"ERROR",""),IF(COUNTIF($C18:$W18,AC$1)&lt;1,"NEEDS COVERAGE",IF(COUNTIF($C18:$W18,AC$1)&gt;1,"ERROR",IF(ISNA(INDEX($C$1:$W$1,MATCH(AC$1,$C18:$W18,0))),"",INDEX($C$1:$W$1,MATCH(AC$1,$C18:$W18,0))))))</f>
        <v/>
      </c>
      <c r="AD18" s="2" t="str">
        <f>IF(ISBLANK(AJ18),IF(COUNTIF($C18:$W18,AD$1)&gt;0,"ERROR",""),IF(COUNTIF($C18:$W18,AD$1)&lt;1,"NEEDS COVERAGE",IF(COUNTIF($C18:$W18,AD$1)&gt;1,"ERROR",IF(ISNA(INDEX($C$1:$W$1,MATCH(AD$1,$C18:$W18,0))),"",INDEX($C$1:$W$1,MATCH(AD$1,$C18:$W18,0))))))</f>
        <v>NEEDS COVERAGE</v>
      </c>
      <c r="AE18" s="21"/>
      <c r="AF18" s="2"/>
      <c r="AG18" s="2"/>
      <c r="AH18" s="2"/>
      <c r="AI18" s="2"/>
      <c r="AJ18" s="2" t="s">
        <v>11</v>
      </c>
    </row>
    <row r="19" spans="1:36" x14ac:dyDescent="0.25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2"/>
      <c r="L19" s="2" t="s">
        <v>11</v>
      </c>
      <c r="M19" s="2"/>
      <c r="N19" s="2" t="s">
        <v>35</v>
      </c>
      <c r="O19" s="2" t="s">
        <v>11</v>
      </c>
      <c r="P19" s="2"/>
      <c r="Q19" s="2"/>
      <c r="R19" s="3" t="s">
        <v>11</v>
      </c>
      <c r="S19" s="2" t="s">
        <v>11</v>
      </c>
      <c r="T19" s="2" t="s">
        <v>11</v>
      </c>
      <c r="U19" s="2" t="s">
        <v>11</v>
      </c>
      <c r="V19" s="2"/>
      <c r="W19" s="2" t="s">
        <v>11</v>
      </c>
      <c r="Z19" s="2" t="str">
        <f>IF(ISBLANK(AF19),IF(COUNTIF($C19:$W19,Z$1)&gt;0,"ERROR",""),IF(COUNTIF($C19:$W19,Z$1)&lt;1,"NEEDS COVERAGE",IF(COUNTIF($C19:$W19,Z$1)&gt;1,"ERROR",IF(ISNA(INDEX($C$1:$W$1,MATCH(Z$1,$C19:$W19,0))),"",INDEX($C$1:$W$1,MATCH(Z$1,$C19:$W19,0))))))</f>
        <v/>
      </c>
      <c r="AA19" s="2" t="str">
        <f>IF(ISBLANK(AG19),IF(COUNTIF($C19:$W19,AA$1)&gt;0,"ERROR",""),IF(COUNTIF($C19:$W19,AA$1)&lt;1,"NEEDS COVERAGE",IF(COUNTIF($C19:$W19,AA$1)&gt;1,"ERROR",IF(ISNA(INDEX($C$1:$W$1,MATCH(AA$1,$C19:$W19,0))),"",INDEX($C$1:$W$1,MATCH(AA$1,$C19:$W19,0))))))</f>
        <v>Handzel</v>
      </c>
      <c r="AB19" s="2" t="str">
        <f>IF(ISBLANK(AH19),IF(COUNTIF($C19:$W19,AB$1)&gt;0,"ERROR",""),IF(COUNTIF($C19:$W19,AB$1)&lt;1,"NEEDS COVERAGE",IF(COUNTIF($C19:$W19,AB$1)&gt;1,"ERROR",IF(ISNA(INDEX($C$1:$W$1,MATCH(AB$1,$C19:$W19,0))),"",INDEX($C$1:$W$1,MATCH(AB$1,$C19:$W19,0))))))</f>
        <v/>
      </c>
      <c r="AC19" s="2" t="str">
        <f>IF(ISBLANK(AI19),IF(COUNTIF($C19:$W19,AC$1)&gt;0,"ERROR",""),IF(COUNTIF($C19:$W19,AC$1)&lt;1,"NEEDS COVERAGE",IF(COUNTIF($C19:$W19,AC$1)&gt;1,"ERROR",IF(ISNA(INDEX($C$1:$W$1,MATCH(AC$1,$C19:$W19,0))),"",INDEX($C$1:$W$1,MATCH(AC$1,$C19:$W19,0))))))</f>
        <v/>
      </c>
      <c r="AD19" s="2" t="str">
        <f>IF(ISBLANK(AJ19),IF(COUNTIF($C19:$W19,AD$1)&gt;0,"ERROR",""),IF(COUNTIF($C19:$W19,AD$1)&lt;1,"NEEDS COVERAGE",IF(COUNTIF($C19:$W19,AD$1)&gt;1,"ERROR",IF(ISNA(INDEX($C$1:$W$1,MATCH(AD$1,$C19:$W19,0))),"",INDEX($C$1:$W$1,MATCH(AD$1,$C19:$W19,0))))))</f>
        <v>NEEDS COVERAGE</v>
      </c>
      <c r="AE19" s="21"/>
      <c r="AF19" s="2"/>
      <c r="AG19" s="2" t="s">
        <v>11</v>
      </c>
      <c r="AH19" s="2"/>
      <c r="AI19" s="2"/>
      <c r="AJ19" s="2" t="s">
        <v>11</v>
      </c>
    </row>
    <row r="20" spans="1:36" x14ac:dyDescent="0.25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2"/>
      <c r="L20" s="2"/>
      <c r="M20" s="2"/>
      <c r="N20" s="2" t="s">
        <v>11</v>
      </c>
      <c r="O20" s="2"/>
      <c r="P20" s="2"/>
      <c r="Q20" s="2" t="s">
        <v>31</v>
      </c>
      <c r="R20" s="3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 t="s">
        <v>11</v>
      </c>
      <c r="Z20" s="2" t="str">
        <f>IF(ISBLANK(AF20),IF(COUNTIF($C20:$W20,Z$1)&gt;0,"ERROR",""),IF(COUNTIF($C20:$W20,Z$1)&lt;1,"NEEDS COVERAGE",IF(COUNTIF($C20:$W20,Z$1)&gt;1,"ERROR",IF(ISNA(INDEX($C$1:$W$1,MATCH(Z$1,$C20:$W20,0))),"",INDEX($C$1:$W$1,MATCH(Z$1,$C20:$W20,0))))))</f>
        <v>Tam</v>
      </c>
      <c r="AA20" s="2" t="str">
        <f>IF(ISBLANK(AG20),IF(COUNTIF($C20:$W20,AA$1)&gt;0,"ERROR",""),IF(COUNTIF($C20:$W20,AA$1)&lt;1,"NEEDS COVERAGE",IF(COUNTIF($C20:$W20,AA$1)&gt;1,"ERROR",IF(ISNA(INDEX($C$1:$W$1,MATCH(AA$1,$C20:$W20,0))),"",INDEX($C$1:$W$1,MATCH(AA$1,$C20:$W20,0))))))</f>
        <v>Dyer</v>
      </c>
      <c r="AB20" s="2" t="str">
        <f>IF(ISBLANK(AH20),IF(COUNTIF($C20:$W20,AB$1)&gt;0,"ERROR",""),IF(COUNTIF($C20:$W20,AB$1)&lt;1,"NEEDS COVERAGE",IF(COUNTIF($C20:$W20,AB$1)&gt;1,"ERROR",IF(ISNA(INDEX($C$1:$W$1,MATCH(AB$1,$C20:$W20,0))),"",INDEX($C$1:$W$1,MATCH(AB$1,$C20:$W20,0))))))</f>
        <v/>
      </c>
      <c r="AC20" s="2" t="str">
        <f>IF(ISBLANK(AI20),IF(COUNTIF($C20:$W20,AC$1)&gt;0,"ERROR",""),IF(COUNTIF($C20:$W20,AC$1)&lt;1,"NEEDS COVERAGE",IF(COUNTIF($C20:$W20,AC$1)&gt;1,"ERROR",IF(ISNA(INDEX($C$1:$W$1,MATCH(AC$1,$C20:$W20,0))),"",INDEX($C$1:$W$1,MATCH(AC$1,$C20:$W20,0))))))</f>
        <v>Siow</v>
      </c>
      <c r="AD20" s="2" t="str">
        <f>IF(ISBLANK(AJ20),IF(COUNTIF($C20:$W20,AD$1)&gt;0,"ERROR",""),IF(COUNTIF($C20:$W20,AD$1)&lt;1,"NEEDS COVERAGE",IF(COUNTIF($C20:$W20,AD$1)&gt;1,"ERROR",IF(ISNA(INDEX($C$1:$W$1,MATCH(AD$1,$C20:$W20,0))),"",INDEX($C$1:$W$1,MATCH(AD$1,$C20:$W20,0))))))</f>
        <v>NEEDS COVERAGE</v>
      </c>
      <c r="AE20" s="21"/>
      <c r="AF20" s="2" t="s">
        <v>11</v>
      </c>
      <c r="AG20" s="2" t="s">
        <v>11</v>
      </c>
      <c r="AH20" s="2"/>
      <c r="AI20" s="2" t="s">
        <v>11</v>
      </c>
      <c r="AJ20" s="2" t="s">
        <v>11</v>
      </c>
    </row>
    <row r="21" spans="1:36" x14ac:dyDescent="0.25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2" t="s">
        <v>2</v>
      </c>
      <c r="L21" s="2"/>
      <c r="M21" s="2"/>
      <c r="N21" s="2" t="s">
        <v>35</v>
      </c>
      <c r="O21" s="2"/>
      <c r="P21" s="2"/>
      <c r="Q21" s="2"/>
      <c r="R21" s="3" t="s">
        <v>11</v>
      </c>
      <c r="S21" s="2" t="s">
        <v>11</v>
      </c>
      <c r="T21" s="2"/>
      <c r="U21" s="2" t="s">
        <v>11</v>
      </c>
      <c r="V21" s="2" t="s">
        <v>11</v>
      </c>
      <c r="W21" s="2" t="s">
        <v>3</v>
      </c>
      <c r="Z21" s="2" t="str">
        <f>IF(ISBLANK(AF21),IF(COUNTIF($C21:$W21,Z$1)&gt;0,"ERROR",""),IF(COUNTIF($C21:$W21,Z$1)&lt;1,"NEEDS COVERAGE",IF(COUNTIF($C21:$W21,Z$1)&gt;1,"ERROR",IF(ISNA(INDEX($C$1:$W$1,MATCH(Z$1,$C21:$W21,0))),"",INDEX($C$1:$W$1,MATCH(Z$1,$C21:$W21,0))))))</f>
        <v>Van Der Windt</v>
      </c>
      <c r="AA21" s="2" t="str">
        <f>IF(ISBLANK(AG21),IF(COUNTIF($C21:$W21,AA$1)&gt;0,"ERROR",""),IF(COUNTIF($C21:$W21,AA$1)&lt;1,"NEEDS COVERAGE",IF(COUNTIF($C21:$W21,AA$1)&gt;1,"ERROR",IF(ISNA(INDEX($C$1:$W$1,MATCH(AA$1,$C21:$W21,0))),"",INDEX($C$1:$W$1,MATCH(AA$1,$C21:$W21,0))))))</f>
        <v>Handzel</v>
      </c>
      <c r="AB21" s="2" t="str">
        <f>IF(ISBLANK(AH21),IF(COUNTIF($C21:$W21,AB$1)&gt;0,"ERROR",""),IF(COUNTIF($C21:$W21,AB$1)&lt;1,"NEEDS COVERAGE",IF(COUNTIF($C21:$W21,AB$1)&gt;1,"ERROR",IF(ISNA(INDEX($C$1:$W$1,MATCH(AB$1,$C21:$W21,0))),"",INDEX($C$1:$W$1,MATCH(AB$1,$C21:$W21,0))))))</f>
        <v/>
      </c>
      <c r="AC21" s="2" t="str">
        <f>IF(ISBLANK(AI21),IF(COUNTIF($C21:$W21,AC$1)&gt;0,"ERROR",""),IF(COUNTIF($C21:$W21,AC$1)&lt;1,"NEEDS COVERAGE",IF(COUNTIF($C21:$W21,AC$1)&gt;1,"ERROR",IF(ISNA(INDEX($C$1:$W$1,MATCH(AC$1,$C21:$W21,0))),"",INDEX($C$1:$W$1,MATCH(AC$1,$C21:$W21,0))))))</f>
        <v/>
      </c>
      <c r="AD21" s="2" t="str">
        <f>IF(ISBLANK(AJ21),IF(COUNTIF($C21:$W21,AD$1)&gt;0,"ERROR",""),IF(COUNTIF($C21:$W21,AD$1)&lt;1,"NEEDS COVERAGE",IF(COUNTIF($C21:$W21,AD$1)&gt;1,"ERROR",IF(ISNA(INDEX($C$1:$W$1,MATCH(AD$1,$C21:$W21,0))),"",INDEX($C$1:$W$1,MATCH(AD$1,$C21:$W21,0))))))</f>
        <v>Shaffiey</v>
      </c>
      <c r="AE21" s="22"/>
      <c r="AF21" s="2" t="s">
        <v>11</v>
      </c>
      <c r="AG21" s="2" t="s">
        <v>11</v>
      </c>
      <c r="AH21" s="2"/>
      <c r="AI21" s="2"/>
      <c r="AJ21" s="2" t="s">
        <v>11</v>
      </c>
    </row>
    <row r="22" spans="1:36" x14ac:dyDescent="0.25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2"/>
      <c r="L22" s="2"/>
      <c r="M22" s="2"/>
      <c r="N22" s="2" t="s">
        <v>11</v>
      </c>
      <c r="O22" s="2"/>
      <c r="P22" s="2"/>
      <c r="Q22" s="2"/>
      <c r="R22" s="3" t="s">
        <v>11</v>
      </c>
      <c r="S22" s="2" t="s">
        <v>11</v>
      </c>
      <c r="T22" s="2"/>
      <c r="U22" s="2" t="s">
        <v>11</v>
      </c>
      <c r="V22" s="2" t="s">
        <v>3</v>
      </c>
      <c r="W22" s="2" t="s">
        <v>2</v>
      </c>
      <c r="Z22" s="2" t="str">
        <f>IF(ISBLANK(AF22),IF(COUNTIF($C22:$W22,Z$1)&gt;0,"ERROR",""),IF(COUNTIF($C22:$W22,Z$1)&lt;1,"NEEDS COVERAGE",IF(COUNTIF($C22:$W22,Z$1)&gt;1,"ERROR",IF(ISNA(INDEX($C$1:$W$1,MATCH(Z$1,$C22:$W22,0))),"",INDEX($C$1:$W$1,MATCH(Z$1,$C22:$W22,0))))))</f>
        <v>Shaffiey</v>
      </c>
      <c r="AA22" s="2" t="str">
        <f>IF(ISBLANK(AG22),IF(COUNTIF($C22:$W22,AA$1)&gt;0,"ERROR",""),IF(COUNTIF($C22:$W22,AA$1)&lt;1,"NEEDS COVERAGE",IF(COUNTIF($C22:$W22,AA$1)&gt;1,"ERROR",IF(ISNA(INDEX($C$1:$W$1,MATCH(AA$1,$C22:$W22,0))),"",INDEX($C$1:$W$1,MATCH(AA$1,$C22:$W22,0))))))</f>
        <v>Dyer</v>
      </c>
      <c r="AB22" s="2" t="str">
        <f>IF(ISBLANK(AH22),IF(COUNTIF($C22:$W22,AB$1)&gt;0,"ERROR",""),IF(COUNTIF($C22:$W22,AB$1)&lt;1,"NEEDS COVERAGE",IF(COUNTIF($C22:$W22,AB$1)&gt;1,"ERROR",IF(ISNA(INDEX($C$1:$W$1,MATCH(AB$1,$C22:$W22,0))),"",INDEX($C$1:$W$1,MATCH(AB$1,$C22:$W22,0))))))</f>
        <v/>
      </c>
      <c r="AC22" s="2" t="str">
        <f>IF(ISBLANK(AI22),IF(COUNTIF($C22:$W22,AC$1)&gt;0,"ERROR",""),IF(COUNTIF($C22:$W22,AC$1)&lt;1,"NEEDS COVERAGE",IF(COUNTIF($C22:$W22,AC$1)&gt;1,"ERROR",IF(ISNA(INDEX($C$1:$W$1,MATCH(AC$1,$C22:$W22,0))),"",INDEX($C$1:$W$1,MATCH(AC$1,$C22:$W22,0))))))</f>
        <v/>
      </c>
      <c r="AD22" s="2" t="str">
        <f>IF(ISBLANK(AJ22),IF(COUNTIF($C22:$W22,AD$1)&gt;0,"ERROR",""),IF(COUNTIF($C22:$W22,AD$1)&lt;1,"NEEDS COVERAGE",IF(COUNTIF($C22:$W22,AD$1)&gt;1,"ERROR",IF(ISNA(INDEX($C$1:$W$1,MATCH(AD$1,$C22:$W22,0))),"",INDEX($C$1:$W$1,MATCH(AD$1,$C22:$W22,0))))))</f>
        <v>Schusterman</v>
      </c>
      <c r="AE22" s="21"/>
      <c r="AF22" s="2" t="s">
        <v>11</v>
      </c>
      <c r="AG22" s="2" t="s">
        <v>11</v>
      </c>
      <c r="AH22" s="2"/>
      <c r="AI22" s="2"/>
      <c r="AJ22" s="2" t="s">
        <v>11</v>
      </c>
    </row>
    <row r="23" spans="1:36" x14ac:dyDescent="0.25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2"/>
      <c r="L23" s="2"/>
      <c r="M23" s="2"/>
      <c r="N23" s="2" t="s">
        <v>31</v>
      </c>
      <c r="O23" s="2" t="s">
        <v>35</v>
      </c>
      <c r="P23" s="2"/>
      <c r="Q23" s="2"/>
      <c r="R23" s="3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/>
      <c r="Z23" s="2" t="str">
        <f>IF(ISBLANK(AF23),IF(COUNTIF($C23:$W23,Z$1)&gt;0,"ERROR",""),IF(COUNTIF($C23:$W23,Z$1)&lt;1,"NEEDS COVERAGE",IF(COUNTIF($C23:$W23,Z$1)&gt;1,"ERROR",IF(ISNA(INDEX($C$1:$W$1,MATCH(Z$1,$C23:$W23,0))),"",INDEX($C$1:$W$1,MATCH(Z$1,$C23:$W23,0))))))</f>
        <v/>
      </c>
      <c r="AA23" s="2" t="str">
        <f>IF(ISBLANK(AG23),IF(COUNTIF($C23:$W23,AA$1)&gt;0,"ERROR",""),IF(COUNTIF($C23:$W23,AA$1)&lt;1,"NEEDS COVERAGE",IF(COUNTIF($C23:$W23,AA$1)&gt;1,"ERROR",IF(ISNA(INDEX($C$1:$W$1,MATCH(AA$1,$C23:$W23,0))),"",INDEX($C$1:$W$1,MATCH(AA$1,$C23:$W23,0))))))</f>
        <v>Hill (Kirk)</v>
      </c>
      <c r="AB23" s="2" t="str">
        <f>IF(ISBLANK(AH23),IF(COUNTIF($C23:$W23,AB$1)&gt;0,"ERROR",""),IF(COUNTIF($C23:$W23,AB$1)&lt;1,"NEEDS COVERAGE",IF(COUNTIF($C23:$W23,AB$1)&gt;1,"ERROR",IF(ISNA(INDEX($C$1:$W$1,MATCH(AB$1,$C23:$W23,0))),"",INDEX($C$1:$W$1,MATCH(AB$1,$C23:$W23,0))))))</f>
        <v/>
      </c>
      <c r="AC23" s="2" t="str">
        <f>IF(ISBLANK(AI23),IF(COUNTIF($C23:$W23,AC$1)&gt;0,"ERROR",""),IF(COUNTIF($C23:$W23,AC$1)&lt;1,"NEEDS COVERAGE",IF(COUNTIF($C23:$W23,AC$1)&gt;1,"ERROR",IF(ISNA(INDEX($C$1:$W$1,MATCH(AC$1,$C23:$W23,0))),"",INDEX($C$1:$W$1,MATCH(AC$1,$C23:$W23,0))))))</f>
        <v>Handzel</v>
      </c>
      <c r="AD23" s="2" t="str">
        <f>IF(ISBLANK(AJ23),IF(COUNTIF($C23:$W23,AD$1)&gt;0,"ERROR",""),IF(COUNTIF($C23:$W23,AD$1)&lt;1,"NEEDS COVERAGE",IF(COUNTIF($C23:$W23,AD$1)&gt;1,"ERROR",IF(ISNA(INDEX($C$1:$W$1,MATCH(AD$1,$C23:$W23,0))),"",INDEX($C$1:$W$1,MATCH(AD$1,$C23:$W23,0))))))</f>
        <v>NEEDS COVERAGE</v>
      </c>
      <c r="AE23" s="21"/>
      <c r="AF23" s="2"/>
      <c r="AG23" s="2" t="s">
        <v>11</v>
      </c>
      <c r="AH23" s="2"/>
      <c r="AI23" s="2" t="s">
        <v>11</v>
      </c>
      <c r="AJ23" s="2" t="s">
        <v>11</v>
      </c>
    </row>
    <row r="24" spans="1:36" x14ac:dyDescent="0.25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2" t="s">
        <v>2</v>
      </c>
      <c r="L24" s="2" t="s">
        <v>11</v>
      </c>
      <c r="M24" s="2"/>
      <c r="N24" s="2"/>
      <c r="O24" s="2"/>
      <c r="P24" s="2" t="s">
        <v>32</v>
      </c>
      <c r="Q24" s="2" t="s">
        <v>11</v>
      </c>
      <c r="R24" s="3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11</v>
      </c>
      <c r="X24" s="4" t="s">
        <v>48</v>
      </c>
      <c r="Z24" s="2" t="str">
        <f>IF(ISBLANK(AF24),IF(COUNTIF($C24:$W24,Z$1)&gt;0,"ERROR",""),IF(COUNTIF($C24:$W24,Z$1)&lt;1,"NEEDS COVERAGE",IF(COUNTIF($C24:$W24,Z$1)&gt;1,"ERROR",IF(ISNA(INDEX($C$1:$W$1,MATCH(Z$1,$C24:$W24,0))),"",INDEX($C$1:$W$1,MATCH(Z$1,$C24:$W24,0))))))</f>
        <v>Van Der Windt</v>
      </c>
      <c r="AA24" s="2" t="str">
        <f>IF(ISBLANK(AG24),IF(COUNTIF($C24:$W24,AA$1)&gt;0,"ERROR",""),IF(COUNTIF($C24:$W24,AA$1)&lt;1,"NEEDS COVERAGE",IF(COUNTIF($C24:$W24,AA$1)&gt;1,"ERROR",IF(ISNA(INDEX($C$1:$W$1,MATCH(AA$1,$C24:$W24,0))),"",INDEX($C$1:$W$1,MATCH(AA$1,$C24:$W24,0))))))</f>
        <v/>
      </c>
      <c r="AB24" s="2" t="str">
        <f>IF(ISBLANK(AH24),IF(COUNTIF($C24:$W24,AB$1)&gt;0,"ERROR",""),IF(COUNTIF($C24:$W24,AB$1)&lt;1,"NEEDS COVERAGE",IF(COUNTIF($C24:$W24,AB$1)&gt;1,"ERROR",IF(ISNA(INDEX($C$1:$W$1,MATCH(AB$1,$C24:$W24,0))),"",INDEX($C$1:$W$1,MATCH(AB$1,$C24:$W24,0))))))</f>
        <v>Okolo</v>
      </c>
      <c r="AC24" s="2" t="str">
        <f>IF(ISBLANK(AI24),IF(COUNTIF($C24:$W24,AC$1)&gt;0,"ERROR",""),IF(COUNTIF($C24:$W24,AC$1)&lt;1,"NEEDS COVERAGE",IF(COUNTIF($C24:$W24,AC$1)&gt;1,"ERROR",IF(ISNA(INDEX($C$1:$W$1,MATCH(AC$1,$C24:$W24,0))),"",INDEX($C$1:$W$1,MATCH(AC$1,$C24:$W24,0))))))</f>
        <v/>
      </c>
      <c r="AD24" s="2" t="str">
        <f>IF(ISBLANK(AJ24),IF(COUNTIF($C24:$W24,AD$1)&gt;0,"ERROR",""),IF(COUNTIF($C24:$W24,AD$1)&lt;1,"NEEDS COVERAGE",IF(COUNTIF($C24:$W24,AD$1)&gt;1,"ERROR",IF(ISNA(INDEX($C$1:$W$1,MATCH(AD$1,$C24:$W24,0))),"",INDEX($C$1:$W$1,MATCH(AD$1,$C24:$W24,0))))))</f>
        <v>NEEDS COVERAGE</v>
      </c>
      <c r="AE24" s="21"/>
      <c r="AF24" s="2" t="s">
        <v>11</v>
      </c>
      <c r="AG24" s="2"/>
      <c r="AH24" s="2" t="s">
        <v>11</v>
      </c>
      <c r="AI24" s="2"/>
      <c r="AJ24" s="2" t="s">
        <v>11</v>
      </c>
    </row>
    <row r="25" spans="1:36" ht="15" customHeight="1" x14ac:dyDescent="0.25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2"/>
      <c r="L25" s="2" t="s">
        <v>11</v>
      </c>
      <c r="M25" s="2"/>
      <c r="N25" s="2"/>
      <c r="O25" s="2"/>
      <c r="P25" s="2"/>
      <c r="Q25" s="2"/>
      <c r="R25" s="3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 t="s">
        <v>11</v>
      </c>
      <c r="Z25" s="2" t="str">
        <f>IF(ISBLANK(AF25),IF(COUNTIF($C25:$W25,Z$1)&gt;0,"ERROR",""),IF(COUNTIF($C25:$W25,Z$1)&lt;1,"NEEDS COVERAGE",IF(COUNTIF($C25:$W25,Z$1)&gt;1,"ERROR",IF(ISNA(INDEX($C$1:$W$1,MATCH(Z$1,$C25:$W25,0))),"",INDEX($C$1:$W$1,MATCH(Z$1,$C25:$W25,0))))))</f>
        <v/>
      </c>
      <c r="AA25" s="2" t="str">
        <f>IF(ISBLANK(AG25),IF(COUNTIF($C25:$W25,AA$1)&gt;0,"ERROR",""),IF(COUNTIF($C25:$W25,AA$1)&lt;1,"NEEDS COVERAGE",IF(COUNTIF($C25:$W25,AA$1)&gt;1,"ERROR",IF(ISNA(INDEX($C$1:$W$1,MATCH(AA$1,$C25:$W25,0))),"",INDEX($C$1:$W$1,MATCH(AA$1,$C25:$W25,0))))))</f>
        <v/>
      </c>
      <c r="AB25" s="2" t="str">
        <f>IF(ISBLANK(AH25),IF(COUNTIF($C25:$W25,AB$1)&gt;0,"ERROR",""),IF(COUNTIF($C25:$W25,AB$1)&lt;1,"NEEDS COVERAGE",IF(COUNTIF($C25:$W25,AB$1)&gt;1,"ERROR",IF(ISNA(INDEX($C$1:$W$1,MATCH(AB$1,$C25:$W25,0))),"",INDEX($C$1:$W$1,MATCH(AB$1,$C25:$W25,0))))))</f>
        <v/>
      </c>
      <c r="AC25" s="2" t="str">
        <f>IF(ISBLANK(AI25),IF(COUNTIF($C25:$W25,AC$1)&gt;0,"ERROR",""),IF(COUNTIF($C25:$W25,AC$1)&lt;1,"NEEDS COVERAGE",IF(COUNTIF($C25:$W25,AC$1)&gt;1,"ERROR",IF(ISNA(INDEX($C$1:$W$1,MATCH(AC$1,$C25:$W25,0))),"",INDEX($C$1:$W$1,MATCH(AC$1,$C25:$W25,0))))))</f>
        <v/>
      </c>
      <c r="AD25" s="2" t="str">
        <f>IF(ISBLANK(AJ25),IF(COUNTIF($C25:$W25,AD$1)&gt;0,"ERROR",""),IF(COUNTIF($C25:$W25,AD$1)&lt;1,"NEEDS COVERAGE",IF(COUNTIF($C25:$W25,AD$1)&gt;1,"ERROR",IF(ISNA(INDEX($C$1:$W$1,MATCH(AD$1,$C25:$W25,0))),"",INDEX($C$1:$W$1,MATCH(AD$1,$C25:$W25,0))))))</f>
        <v>NEEDS COVERAGE</v>
      </c>
      <c r="AE25" s="21"/>
      <c r="AF25" s="2"/>
      <c r="AG25" s="2"/>
      <c r="AH25" s="2"/>
      <c r="AI25" s="2"/>
      <c r="AJ25" s="2" t="s">
        <v>11</v>
      </c>
    </row>
    <row r="26" spans="1:36" x14ac:dyDescent="0.25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/>
      <c r="H26" s="2" t="s">
        <v>11</v>
      </c>
      <c r="I26" s="2" t="s">
        <v>11</v>
      </c>
      <c r="J26" s="2" t="s">
        <v>11</v>
      </c>
      <c r="K26" s="2"/>
      <c r="L26" s="2" t="s">
        <v>11</v>
      </c>
      <c r="M26" s="2"/>
      <c r="N26" s="2"/>
      <c r="O26" s="2"/>
      <c r="P26" s="2"/>
      <c r="Q26" s="2" t="s">
        <v>35</v>
      </c>
      <c r="R26" s="3"/>
      <c r="S26" s="2" t="s">
        <v>11</v>
      </c>
      <c r="T26" s="2" t="s">
        <v>11</v>
      </c>
      <c r="U26" s="2" t="s">
        <v>11</v>
      </c>
      <c r="V26" s="2" t="s">
        <v>11</v>
      </c>
      <c r="W26" s="2" t="s">
        <v>11</v>
      </c>
      <c r="Z26" s="2" t="str">
        <f>IF(ISBLANK(AF26),IF(COUNTIF($C26:$W26,Z$1)&gt;0,"ERROR",""),IF(COUNTIF($C26:$W26,Z$1)&lt;1,"NEEDS COVERAGE",IF(COUNTIF($C26:$W26,Z$1)&gt;1,"ERROR",IF(ISNA(INDEX($C$1:$W$1,MATCH(Z$1,$C26:$W26,0))),"",INDEX($C$1:$W$1,MATCH(Z$1,$C26:$W26,0))))))</f>
        <v/>
      </c>
      <c r="AA26" s="2" t="str">
        <f>IF(ISBLANK(AG26),IF(COUNTIF($C26:$W26,AA$1)&gt;0,"ERROR",""),IF(COUNTIF($C26:$W26,AA$1)&lt;1,"NEEDS COVERAGE",IF(COUNTIF($C26:$W26,AA$1)&gt;1,"ERROR",IF(ISNA(INDEX($C$1:$W$1,MATCH(AA$1,$C26:$W26,0))),"",INDEX($C$1:$W$1,MATCH(AA$1,$C26:$W26,0))))))</f>
        <v>Siow</v>
      </c>
      <c r="AB26" s="2" t="str">
        <f>IF(ISBLANK(AH26),IF(COUNTIF($C26:$W26,AB$1)&gt;0,"ERROR",""),IF(COUNTIF($C26:$W26,AB$1)&lt;1,"NEEDS COVERAGE",IF(COUNTIF($C26:$W26,AB$1)&gt;1,"ERROR",IF(ISNA(INDEX($C$1:$W$1,MATCH(AB$1,$C26:$W26,0))),"",INDEX($C$1:$W$1,MATCH(AB$1,$C26:$W26,0))))))</f>
        <v/>
      </c>
      <c r="AC26" s="2" t="str">
        <f>IF(ISBLANK(AI26),IF(COUNTIF($C26:$W26,AC$1)&gt;0,"ERROR",""),IF(COUNTIF($C26:$W26,AC$1)&lt;1,"NEEDS COVERAGE",IF(COUNTIF($C26:$W26,AC$1)&gt;1,"ERROR",IF(ISNA(INDEX($C$1:$W$1,MATCH(AC$1,$C26:$W26,0))),"",INDEX($C$1:$W$1,MATCH(AC$1,$C26:$W26,0))))))</f>
        <v/>
      </c>
      <c r="AD26" s="2" t="str">
        <f>IF(ISBLANK(AJ26),IF(COUNTIF($C26:$W26,AD$1)&gt;0,"ERROR",""),IF(COUNTIF($C26:$W26,AD$1)&lt;1,"NEEDS COVERAGE",IF(COUNTIF($C26:$W26,AD$1)&gt;1,"ERROR",IF(ISNA(INDEX($C$1:$W$1,MATCH(AD$1,$C26:$W26,0))),"",INDEX($C$1:$W$1,MATCH(AD$1,$C26:$W26,0))))))</f>
        <v>NEEDS COVERAGE</v>
      </c>
      <c r="AE26" s="21"/>
      <c r="AF26" s="2"/>
      <c r="AG26" s="2" t="s">
        <v>11</v>
      </c>
      <c r="AH26" s="2"/>
      <c r="AI26" s="2"/>
      <c r="AJ26" s="2" t="s">
        <v>11</v>
      </c>
    </row>
    <row r="27" spans="1:36" x14ac:dyDescent="0.25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2" t="s">
        <v>35</v>
      </c>
      <c r="L27" s="2" t="s">
        <v>11</v>
      </c>
      <c r="M27" s="2"/>
      <c r="N27" s="2" t="s">
        <v>11</v>
      </c>
      <c r="O27" s="2" t="s">
        <v>2</v>
      </c>
      <c r="P27" s="2" t="s">
        <v>31</v>
      </c>
      <c r="Q27" s="2"/>
      <c r="R27" s="3"/>
      <c r="S27" s="2" t="s">
        <v>11</v>
      </c>
      <c r="T27" s="2" t="s">
        <v>11</v>
      </c>
      <c r="U27" s="2" t="s">
        <v>11</v>
      </c>
      <c r="V27" s="2"/>
      <c r="W27" s="2" t="s">
        <v>3</v>
      </c>
      <c r="Z27" s="2" t="str">
        <f>IF(ISBLANK(AF27),IF(COUNTIF($C27:$W27,Z$1)&gt;0,"ERROR",""),IF(COUNTIF($C27:$W27,Z$1)&lt;1,"NEEDS COVERAGE",IF(COUNTIF($C27:$W27,Z$1)&gt;1,"ERROR",IF(ISNA(INDEX($C$1:$W$1,MATCH(Z$1,$C27:$W27,0))),"",INDEX($C$1:$W$1,MATCH(Z$1,$C27:$W27,0))))))</f>
        <v>Hill (Kirk)</v>
      </c>
      <c r="AA27" s="2" t="str">
        <f>IF(ISBLANK(AG27),IF(COUNTIF($C27:$W27,AA$1)&gt;0,"ERROR",""),IF(COUNTIF($C27:$W27,AA$1)&lt;1,"NEEDS COVERAGE",IF(COUNTIF($C27:$W27,AA$1)&gt;1,"ERROR",IF(ISNA(INDEX($C$1:$W$1,MATCH(AA$1,$C27:$W27,0))),"",INDEX($C$1:$W$1,MATCH(AA$1,$C27:$W27,0))))))</f>
        <v>Van Der Windt</v>
      </c>
      <c r="AB27" s="2" t="str">
        <f>IF(ISBLANK(AH27),IF(COUNTIF($C27:$W27,AB$1)&gt;0,"ERROR",""),IF(COUNTIF($C27:$W27,AB$1)&lt;1,"NEEDS COVERAGE",IF(COUNTIF($C27:$W27,AB$1)&gt;1,"ERROR",IF(ISNA(INDEX($C$1:$W$1,MATCH(AB$1,$C27:$W27,0))),"",INDEX($C$1:$W$1,MATCH(AB$1,$C27:$W27,0))))))</f>
        <v/>
      </c>
      <c r="AC27" s="2" t="str">
        <f>IF(ISBLANK(AI27),IF(COUNTIF($C27:$W27,AC$1)&gt;0,"ERROR",""),IF(COUNTIF($C27:$W27,AC$1)&lt;1,"NEEDS COVERAGE",IF(COUNTIF($C27:$W27,AC$1)&gt;1,"ERROR",IF(ISNA(INDEX($C$1:$W$1,MATCH(AC$1,$C27:$W27,0))),"",INDEX($C$1:$W$1,MATCH(AC$1,$C27:$W27,0))))))</f>
        <v>Okolo</v>
      </c>
      <c r="AD27" s="2" t="str">
        <f>IF(ISBLANK(AJ27),IF(COUNTIF($C27:$W27,AD$1)&gt;0,"ERROR",""),IF(COUNTIF($C27:$W27,AD$1)&lt;1,"NEEDS COVERAGE",IF(COUNTIF($C27:$W27,AD$1)&gt;1,"ERROR",IF(ISNA(INDEX($C$1:$W$1,MATCH(AD$1,$C27:$W27,0))),"",INDEX($C$1:$W$1,MATCH(AD$1,$C27:$W27,0))))))</f>
        <v>Shaffiey</v>
      </c>
      <c r="AE27" s="21"/>
      <c r="AF27" s="2" t="s">
        <v>11</v>
      </c>
      <c r="AG27" s="2" t="s">
        <v>11</v>
      </c>
      <c r="AH27" s="2"/>
      <c r="AI27" s="2" t="s">
        <v>11</v>
      </c>
      <c r="AJ27" s="2" t="s">
        <v>11</v>
      </c>
    </row>
    <row r="28" spans="1:36" x14ac:dyDescent="0.25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2"/>
      <c r="H28" s="2" t="s">
        <v>11</v>
      </c>
      <c r="I28" s="2" t="s">
        <v>11</v>
      </c>
      <c r="J28" s="2" t="s">
        <v>11</v>
      </c>
      <c r="K28" s="2"/>
      <c r="L28" s="2"/>
      <c r="M28" s="2" t="s">
        <v>2</v>
      </c>
      <c r="N28" s="2" t="s">
        <v>35</v>
      </c>
      <c r="O28" s="2"/>
      <c r="P28" s="2"/>
      <c r="Q28" s="2"/>
      <c r="R28" s="3" t="s">
        <v>31</v>
      </c>
      <c r="S28" s="2" t="s">
        <v>11</v>
      </c>
      <c r="T28" s="2" t="s">
        <v>11</v>
      </c>
      <c r="U28" s="2" t="s">
        <v>11</v>
      </c>
      <c r="V28" s="2"/>
      <c r="W28" s="2" t="s">
        <v>3</v>
      </c>
      <c r="Z28" s="2" t="str">
        <f>IF(ISBLANK(AF28),IF(COUNTIF($C28:$W28,Z$1)&gt;0,"ERROR",""),IF(COUNTIF($C28:$W28,Z$1)&lt;1,"NEEDS COVERAGE",IF(COUNTIF($C28:$W28,Z$1)&gt;1,"ERROR",IF(ISNA(INDEX($C$1:$W$1,MATCH(Z$1,$C28:$W28,0))),"",INDEX($C$1:$W$1,MATCH(Z$1,$C28:$W28,0))))))</f>
        <v>Griepentrog</v>
      </c>
      <c r="AA28" s="2" t="str">
        <f>IF(ISBLANK(AG28),IF(COUNTIF($C28:$W28,AA$1)&gt;0,"ERROR",""),IF(COUNTIF($C28:$W28,AA$1)&lt;1,"NEEDS COVERAGE",IF(COUNTIF($C28:$W28,AA$1)&gt;1,"ERROR",IF(ISNA(INDEX($C$1:$W$1,MATCH(AA$1,$C28:$W28,0))),"",INDEX($C$1:$W$1,MATCH(AA$1,$C28:$W28,0))))))</f>
        <v>Handzel</v>
      </c>
      <c r="AB28" s="2" t="str">
        <f>IF(ISBLANK(AH28),IF(COUNTIF($C28:$W28,AB$1)&gt;0,"ERROR",""),IF(COUNTIF($C28:$W28,AB$1)&lt;1,"NEEDS COVERAGE",IF(COUNTIF($C28:$W28,AB$1)&gt;1,"ERROR",IF(ISNA(INDEX($C$1:$W$1,MATCH(AB$1,$C28:$W28,0))),"",INDEX($C$1:$W$1,MATCH(AB$1,$C28:$W28,0))))))</f>
        <v/>
      </c>
      <c r="AC28" s="2" t="str">
        <f>IF(ISBLANK(AI28),IF(COUNTIF($C28:$W28,AC$1)&gt;0,"ERROR",""),IF(COUNTIF($C28:$W28,AC$1)&lt;1,"NEEDS COVERAGE",IF(COUNTIF($C28:$W28,AC$1)&gt;1,"ERROR",IF(ISNA(INDEX($C$1:$W$1,MATCH(AC$1,$C28:$W28,0))),"",INDEX($C$1:$W$1,MATCH(AC$1,$C28:$W28,0))))))</f>
        <v>Tam</v>
      </c>
      <c r="AD28" s="2" t="str">
        <f>IF(ISBLANK(AJ28),IF(COUNTIF($C28:$W28,AD$1)&gt;0,"ERROR",""),IF(COUNTIF($C28:$W28,AD$1)&lt;1,"NEEDS COVERAGE",IF(COUNTIF($C28:$W28,AD$1)&gt;1,"ERROR",IF(ISNA(INDEX($C$1:$W$1,MATCH(AD$1,$C28:$W28,0))),"",INDEX($C$1:$W$1,MATCH(AD$1,$C28:$W28,0))))))</f>
        <v>Shaffiey</v>
      </c>
      <c r="AE28" s="21"/>
      <c r="AF28" s="2" t="s">
        <v>11</v>
      </c>
      <c r="AG28" s="2" t="s">
        <v>11</v>
      </c>
      <c r="AH28" s="2"/>
      <c r="AI28" s="2" t="s">
        <v>11</v>
      </c>
      <c r="AJ28" s="2" t="s">
        <v>11</v>
      </c>
    </row>
    <row r="29" spans="1:36" s="6" customFormat="1" x14ac:dyDescent="0.25">
      <c r="A29" s="3" t="s">
        <v>4</v>
      </c>
      <c r="B29" s="24">
        <v>28</v>
      </c>
      <c r="C29" s="3" t="s">
        <v>11</v>
      </c>
      <c r="D29" s="3" t="s">
        <v>11</v>
      </c>
      <c r="E29" s="3" t="s">
        <v>11</v>
      </c>
      <c r="F29" s="3" t="s">
        <v>11</v>
      </c>
      <c r="G29" s="3" t="s">
        <v>2</v>
      </c>
      <c r="H29" s="3" t="s">
        <v>11</v>
      </c>
      <c r="I29" s="3" t="s">
        <v>11</v>
      </c>
      <c r="J29" s="3" t="s">
        <v>11</v>
      </c>
      <c r="K29" s="3"/>
      <c r="L29" s="3" t="s">
        <v>35</v>
      </c>
      <c r="M29" s="3"/>
      <c r="N29" s="3" t="s">
        <v>11</v>
      </c>
      <c r="O29" s="3"/>
      <c r="P29" s="3"/>
      <c r="Q29" s="3"/>
      <c r="R29" s="3" t="s">
        <v>31</v>
      </c>
      <c r="S29" s="3" t="s">
        <v>11</v>
      </c>
      <c r="T29" s="3" t="s">
        <v>11</v>
      </c>
      <c r="U29" s="3" t="s">
        <v>11</v>
      </c>
      <c r="V29" s="3"/>
      <c r="W29" s="3" t="s">
        <v>3</v>
      </c>
      <c r="Z29" s="3" t="str">
        <f>IF(ISBLANK(AF29),IF(COUNTIF($C29:$W29,Z$1)&gt;0,"ERROR",""),IF(COUNTIF($C29:$W29,Z$1)&lt;1,"NEEDS COVERAGE",IF(COUNTIF($C29:$W29,Z$1)&gt;1,"ERROR",IF(ISNA(INDEX($C$1:$W$1,MATCH(Z$1,$C29:$W29,0))),"",INDEX($C$1:$W$1,MATCH(Z$1,$C29:$W29,0))))))</f>
        <v>Dyer</v>
      </c>
      <c r="AA29" s="3" t="str">
        <f>IF(ISBLANK(AG29),IF(COUNTIF($C29:$W29,AA$1)&gt;0,"ERROR",""),IF(COUNTIF($C29:$W29,AA$1)&lt;1,"NEEDS COVERAGE",IF(COUNTIF($C29:$W29,AA$1)&gt;1,"ERROR",IF(ISNA(INDEX($C$1:$W$1,MATCH(AA$1,$C29:$W29,0))),"",INDEX($C$1:$W$1,MATCH(AA$1,$C29:$W29,0))))))</f>
        <v>Yeh</v>
      </c>
      <c r="AB29" s="3" t="str">
        <f>IF(ISBLANK(AH29),IF(COUNTIF($C29:$W29,AB$1)&gt;0,"ERROR",""),IF(COUNTIF($C29:$W29,AB$1)&lt;1,"NEEDS COVERAGE",IF(COUNTIF($C29:$W29,AB$1)&gt;1,"ERROR",IF(ISNA(INDEX($C$1:$W$1,MATCH(AB$1,$C29:$W29,0))),"",INDEX($C$1:$W$1,MATCH(AB$1,$C29:$W29,0))))))</f>
        <v/>
      </c>
      <c r="AC29" s="3" t="str">
        <f>IF(ISBLANK(AI29),IF(COUNTIF($C29:$W29,AC$1)&gt;0,"ERROR",""),IF(COUNTIF($C29:$W29,AC$1)&lt;1,"NEEDS COVERAGE",IF(COUNTIF($C29:$W29,AC$1)&gt;1,"ERROR",IF(ISNA(INDEX($C$1:$W$1,MATCH(AC$1,$C29:$W29,0))),"",INDEX($C$1:$W$1,MATCH(AC$1,$C29:$W29,0))))))</f>
        <v>Tam</v>
      </c>
      <c r="AD29" s="3" t="str">
        <f>IF(ISBLANK(AJ29),IF(COUNTIF($C29:$W29,AD$1)&gt;0,"ERROR",""),IF(COUNTIF($C29:$W29,AD$1)&lt;1,"NEEDS COVERAGE",IF(COUNTIF($C29:$W29,AD$1)&gt;1,"ERROR",IF(ISNA(INDEX($C$1:$W$1,MATCH(AD$1,$C29:$W29,0))),"",INDEX($C$1:$W$1,MATCH(AD$1,$C29:$W29,0))))))</f>
        <v>Shaffiey</v>
      </c>
      <c r="AE29" s="23"/>
      <c r="AF29" s="3" t="s">
        <v>11</v>
      </c>
      <c r="AG29" s="3" t="s">
        <v>11</v>
      </c>
      <c r="AH29" s="3"/>
      <c r="AI29" s="3" t="s">
        <v>11</v>
      </c>
      <c r="AJ29" s="3" t="s">
        <v>11</v>
      </c>
    </row>
    <row r="30" spans="1:36" x14ac:dyDescent="0.25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2"/>
      <c r="H30" s="2" t="s">
        <v>11</v>
      </c>
      <c r="I30" s="2" t="s">
        <v>11</v>
      </c>
      <c r="J30" s="2" t="s">
        <v>11</v>
      </c>
      <c r="K30" s="2"/>
      <c r="L30" s="2"/>
      <c r="M30" s="2"/>
      <c r="N30" s="2"/>
      <c r="O30" s="2" t="s">
        <v>31</v>
      </c>
      <c r="P30" s="2"/>
      <c r="Q30" s="2"/>
      <c r="R30" s="3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 t="s">
        <v>3</v>
      </c>
      <c r="Z30" s="2" t="str">
        <f>IF(ISBLANK(AF30),IF(COUNTIF($C30:$W30,Z$1)&gt;0,"ERROR",""),IF(COUNTIF($C30:$W30,Z$1)&lt;1,"NEEDS COVERAGE",IF(COUNTIF($C30:$W30,Z$1)&gt;1,"ERROR",IF(ISNA(INDEX($C$1:$W$1,MATCH(Z$1,$C30:$W30,0))),"",INDEX($C$1:$W$1,MATCH(Z$1,$C30:$W30,0))))))</f>
        <v/>
      </c>
      <c r="AA30" s="2" t="str">
        <f>IF(ISBLANK(AG30),IF(COUNTIF($C30:$W30,AA$1)&gt;0,"ERROR",""),IF(COUNTIF($C30:$W30,AA$1)&lt;1,"NEEDS COVERAGE",IF(COUNTIF($C30:$W30,AA$1)&gt;1,"ERROR",IF(ISNA(INDEX($C$1:$W$1,MATCH(AA$1,$C30:$W30,0))),"",INDEX($C$1:$W$1,MATCH(AA$1,$C30:$W30,0))))))</f>
        <v>Tam</v>
      </c>
      <c r="AB30" s="2" t="str">
        <f>IF(ISBLANK(AH30),IF(COUNTIF($C30:$W30,AB$1)&gt;0,"ERROR",""),IF(COUNTIF($C30:$W30,AB$1)&lt;1,"NEEDS COVERAGE",IF(COUNTIF($C30:$W30,AB$1)&gt;1,"ERROR",IF(ISNA(INDEX($C$1:$W$1,MATCH(AB$1,$C30:$W30,0))),"",INDEX($C$1:$W$1,MATCH(AB$1,$C30:$W30,0))))))</f>
        <v/>
      </c>
      <c r="AC30" s="2" t="str">
        <f>IF(ISBLANK(AI30),IF(COUNTIF($C30:$W30,AC$1)&gt;0,"ERROR",""),IF(COUNTIF($C30:$W30,AC$1)&lt;1,"NEEDS COVERAGE",IF(COUNTIF($C30:$W30,AC$1)&gt;1,"ERROR",IF(ISNA(INDEX($C$1:$W$1,MATCH(AC$1,$C30:$W30,0))),"",INDEX($C$1:$W$1,MATCH(AC$1,$C30:$W30,0))))))</f>
        <v>Hill (Kirk)</v>
      </c>
      <c r="AD30" s="2" t="str">
        <f>IF(ISBLANK(AJ30),IF(COUNTIF($C30:$W30,AD$1)&gt;0,"ERROR",""),IF(COUNTIF($C30:$W30,AD$1)&lt;1,"NEEDS COVERAGE",IF(COUNTIF($C30:$W30,AD$1)&gt;1,"ERROR",IF(ISNA(INDEX($C$1:$W$1,MATCH(AD$1,$C30:$W30,0))),"",INDEX($C$1:$W$1,MATCH(AD$1,$C30:$W30,0))))))</f>
        <v>Shaffiey</v>
      </c>
      <c r="AE30" s="21"/>
      <c r="AF30" s="2"/>
      <c r="AG30" s="2" t="s">
        <v>11</v>
      </c>
      <c r="AH30" s="2"/>
      <c r="AI30" s="2" t="s">
        <v>11</v>
      </c>
      <c r="AJ30" s="2" t="s">
        <v>11</v>
      </c>
    </row>
    <row r="31" spans="1:36" x14ac:dyDescent="0.25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2"/>
      <c r="L31" s="2"/>
      <c r="M31" s="2"/>
      <c r="N31" s="2" t="s">
        <v>2</v>
      </c>
      <c r="O31" s="2"/>
      <c r="P31" s="2"/>
      <c r="Q31" s="2"/>
      <c r="R31" s="3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 t="s">
        <v>11</v>
      </c>
      <c r="Z31" s="2" t="str">
        <f>IF(ISBLANK(AF31),IF(COUNTIF($C31:$W31,Z$1)&gt;0,"ERROR",""),IF(COUNTIF($C31:$W31,Z$1)&lt;1,"NEEDS COVERAGE",IF(COUNTIF($C31:$W31,Z$1)&gt;1,"ERROR",IF(ISNA(INDEX($C$1:$W$1,MATCH(Z$1,$C31:$W31,0))),"",INDEX($C$1:$W$1,MATCH(Z$1,$C31:$W31,0))))))</f>
        <v>Handzel</v>
      </c>
      <c r="AA31" s="2" t="str">
        <f>IF(ISBLANK(AG31),IF(COUNTIF($C31:$W31,AA$1)&gt;0,"ERROR",""),IF(COUNTIF($C31:$W31,AA$1)&lt;1,"NEEDS COVERAGE",IF(COUNTIF($C31:$W31,AA$1)&gt;1,"ERROR",IF(ISNA(INDEX($C$1:$W$1,MATCH(AA$1,$C31:$W31,0))),"",INDEX($C$1:$W$1,MATCH(AA$1,$C31:$W31,0))))))</f>
        <v/>
      </c>
      <c r="AB31" s="2" t="str">
        <f>IF(ISBLANK(AH31),IF(COUNTIF($C31:$W31,AB$1)&gt;0,"ERROR",""),IF(COUNTIF($C31:$W31,AB$1)&lt;1,"NEEDS COVERAGE",IF(COUNTIF($C31:$W31,AB$1)&gt;1,"ERROR",IF(ISNA(INDEX($C$1:$W$1,MATCH(AB$1,$C31:$W31,0))),"",INDEX($C$1:$W$1,MATCH(AB$1,$C31:$W31,0))))))</f>
        <v/>
      </c>
      <c r="AC31" s="2" t="str">
        <f>IF(ISBLANK(AI31),IF(COUNTIF($C31:$W31,AC$1)&gt;0,"ERROR",""),IF(COUNTIF($C31:$W31,AC$1)&lt;1,"NEEDS COVERAGE",IF(COUNTIF($C31:$W31,AC$1)&gt;1,"ERROR",IF(ISNA(INDEX($C$1:$W$1,MATCH(AC$1,$C31:$W31,0))),"",INDEX($C$1:$W$1,MATCH(AC$1,$C31:$W31,0))))))</f>
        <v/>
      </c>
      <c r="AD31" s="2" t="str">
        <f>IF(ISBLANK(AJ31),IF(COUNTIF($C31:$W31,AD$1)&gt;0,"ERROR",""),IF(COUNTIF($C31:$W31,AD$1)&lt;1,"NEEDS COVERAGE",IF(COUNTIF($C31:$W31,AD$1)&gt;1,"ERROR",IF(ISNA(INDEX($C$1:$W$1,MATCH(AD$1,$C31:$W31,0))),"",INDEX($C$1:$W$1,MATCH(AD$1,$C31:$W31,0))))))</f>
        <v>NEEDS COVERAGE</v>
      </c>
      <c r="AE31" s="21"/>
      <c r="AF31" s="2" t="s">
        <v>11</v>
      </c>
      <c r="AG31" s="2"/>
      <c r="AH31" s="2"/>
      <c r="AI31" s="2"/>
      <c r="AJ31" s="2" t="s">
        <v>11</v>
      </c>
    </row>
    <row r="32" spans="1:36" x14ac:dyDescent="0.25">
      <c r="B32" s="19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3"/>
      <c r="S32" s="2"/>
      <c r="T32" s="2"/>
      <c r="U32" s="2"/>
      <c r="V32" s="2"/>
      <c r="W32" s="2"/>
      <c r="Z32" s="2" t="str">
        <f t="shared" ref="Z32" si="0">IF(ISBLANK(AF32),"",IF(COUNTIF($C32:$V32,Z$1)&lt;1,"NEEDS COVERAGE",IF(COUNTIF($C32:$V32,Z$1)&gt;1,"ERROR",IF(ISNA(INDEX($C$1:$V$1,MATCH(Z$1,$C32:$V32,0))),"",INDEX($C$1:$V$1,MATCH(Z$1,$C32:$V32,0))))))</f>
        <v/>
      </c>
      <c r="AA32" s="2" t="str">
        <f t="shared" ref="AA32" si="1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2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3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4">IF(ISBLANK(AJ32),"",IF(COUNTIF($C32:$V32,AD$1)&lt;1,"NEEDS COVERAGE",IF(COUNTIF($C32:$V32,AD$1)&gt;1,"ERROR",IF(ISNA(INDEX($C$1:$V$1,MATCH(AD$1,$C32:$V32,0))),"",INDEX($C$1:$V$1,MATCH(AD$1,$C32:$V32,0))))))</f>
        <v/>
      </c>
      <c r="AE32" s="21"/>
      <c r="AF32" s="2"/>
      <c r="AG32" s="2"/>
      <c r="AH32" s="2"/>
      <c r="AI32" s="2"/>
      <c r="AJ32" s="2"/>
    </row>
    <row r="33" spans="1:36" x14ac:dyDescent="0.25">
      <c r="B33" s="19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3"/>
      <c r="S33" s="2"/>
      <c r="T33" s="2"/>
      <c r="U33" s="2"/>
      <c r="V33" s="2"/>
      <c r="W33" s="2"/>
      <c r="Z33" s="7"/>
      <c r="AA33" s="7"/>
      <c r="AB33" s="7"/>
      <c r="AC33" s="7"/>
      <c r="AD33" s="7"/>
      <c r="AE33" s="7"/>
      <c r="AF33" s="2"/>
      <c r="AG33" s="2"/>
      <c r="AH33" s="2"/>
      <c r="AI33" s="2"/>
      <c r="AJ33" s="2"/>
    </row>
    <row r="34" spans="1:36" x14ac:dyDescent="0.25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8" t="s">
        <v>55</v>
      </c>
      <c r="M34" s="8" t="s">
        <v>53</v>
      </c>
      <c r="N34" s="8" t="s">
        <v>40</v>
      </c>
      <c r="O34" s="8" t="s">
        <v>43</v>
      </c>
      <c r="P34" s="8" t="s">
        <v>40</v>
      </c>
      <c r="Q34" s="8" t="s">
        <v>40</v>
      </c>
      <c r="R34" s="25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 t="s">
        <v>54</v>
      </c>
      <c r="Z34" s="7"/>
      <c r="AA34" s="5"/>
      <c r="AB34" s="7"/>
      <c r="AC34" s="7"/>
      <c r="AD34" s="7"/>
      <c r="AE34" s="7"/>
      <c r="AF34" s="2">
        <f>COUNTIF(AF2:AF32,"x")</f>
        <v>17</v>
      </c>
      <c r="AG34" s="2">
        <f>COUNTIF(AG2:AG31,"x")</f>
        <v>21</v>
      </c>
      <c r="AH34" s="2">
        <f>COUNTIF(AH2:AH31,"x")</f>
        <v>3</v>
      </c>
      <c r="AI34" s="2">
        <f>COUNTIF(AI2:AI31,"x")</f>
        <v>13</v>
      </c>
      <c r="AJ34" s="2">
        <f>COUNTIF(AJ2:AJ31,"x")</f>
        <v>30</v>
      </c>
    </row>
    <row r="35" spans="1:36" s="9" customFormat="1" x14ac:dyDescent="0.25">
      <c r="A35" s="2" t="s">
        <v>16</v>
      </c>
      <c r="B35" s="8"/>
      <c r="C35" s="2">
        <f t="shared" ref="C35:W35" si="5">COUNTIF(C2:C32,"Trauma")+COUNTIF(C2:C32,"CHP*")+COUNTIF(C2:C32,"SHY")+COUNTIF(C2:C32,"CT")</f>
        <v>0</v>
      </c>
      <c r="D35" s="2">
        <f t="shared" si="5"/>
        <v>0</v>
      </c>
      <c r="E35" s="2">
        <f t="shared" si="5"/>
        <v>0</v>
      </c>
      <c r="F35" s="2">
        <f t="shared" si="5"/>
        <v>0</v>
      </c>
      <c r="G35" s="2">
        <f t="shared" si="5"/>
        <v>5</v>
      </c>
      <c r="H35" s="2">
        <f t="shared" si="5"/>
        <v>0</v>
      </c>
      <c r="I35" s="2">
        <f t="shared" si="5"/>
        <v>0</v>
      </c>
      <c r="J35" s="2">
        <f t="shared" si="5"/>
        <v>4</v>
      </c>
      <c r="K35" s="2">
        <f t="shared" si="5"/>
        <v>4</v>
      </c>
      <c r="L35" s="2">
        <f t="shared" si="5"/>
        <v>5</v>
      </c>
      <c r="M35" s="2">
        <f t="shared" si="5"/>
        <v>4</v>
      </c>
      <c r="N35" s="2">
        <f t="shared" si="5"/>
        <v>6</v>
      </c>
      <c r="O35" s="2">
        <f t="shared" si="5"/>
        <v>6</v>
      </c>
      <c r="P35" s="2">
        <f t="shared" si="5"/>
        <v>7</v>
      </c>
      <c r="Q35" s="2">
        <f t="shared" si="5"/>
        <v>6</v>
      </c>
      <c r="R35" s="3">
        <f t="shared" si="5"/>
        <v>7</v>
      </c>
      <c r="S35" s="2">
        <f t="shared" si="5"/>
        <v>0</v>
      </c>
      <c r="T35" s="2">
        <f t="shared" si="5"/>
        <v>2</v>
      </c>
      <c r="U35" s="2">
        <f t="shared" si="5"/>
        <v>1</v>
      </c>
      <c r="V35" s="2">
        <f t="shared" si="5"/>
        <v>2</v>
      </c>
      <c r="W35" s="2">
        <f t="shared" si="5"/>
        <v>6</v>
      </c>
      <c r="X35" s="4">
        <f>SUM(AF34:AI34)</f>
        <v>54</v>
      </c>
      <c r="Y35" s="4">
        <f>SUM(G36:R36)</f>
        <v>50</v>
      </c>
      <c r="Z35" s="20"/>
      <c r="AA35" s="17"/>
      <c r="AB35" s="17"/>
      <c r="AC35" s="17"/>
      <c r="AD35" s="17"/>
      <c r="AE35" s="17"/>
    </row>
    <row r="36" spans="1:36" x14ac:dyDescent="0.25">
      <c r="A36" s="2" t="s">
        <v>58</v>
      </c>
      <c r="B36" s="10"/>
      <c r="C36" s="10">
        <f t="shared" ref="C36:F36" si="6">INT(RIGHT(C34))</f>
        <v>0</v>
      </c>
      <c r="D36" s="10">
        <f t="shared" si="6"/>
        <v>0</v>
      </c>
      <c r="E36" s="10">
        <f t="shared" si="6"/>
        <v>0</v>
      </c>
      <c r="F36" s="10">
        <f t="shared" si="6"/>
        <v>0</v>
      </c>
      <c r="G36" s="10">
        <f>INT(RIGHT(G34))</f>
        <v>5</v>
      </c>
      <c r="H36" s="10">
        <f t="shared" ref="H36:W36" si="7">INT(RIGHT(H34))</f>
        <v>0</v>
      </c>
      <c r="I36" s="10">
        <f t="shared" si="7"/>
        <v>0</v>
      </c>
      <c r="J36" s="10">
        <f t="shared" si="7"/>
        <v>4</v>
      </c>
      <c r="K36" s="10">
        <f t="shared" si="7"/>
        <v>4</v>
      </c>
      <c r="L36" s="10">
        <f t="shared" si="7"/>
        <v>4</v>
      </c>
      <c r="M36" s="10">
        <f t="shared" si="7"/>
        <v>4</v>
      </c>
      <c r="N36" s="10">
        <f t="shared" si="7"/>
        <v>6</v>
      </c>
      <c r="O36" s="10">
        <f t="shared" si="7"/>
        <v>5</v>
      </c>
      <c r="P36" s="10">
        <f t="shared" si="7"/>
        <v>6</v>
      </c>
      <c r="Q36" s="10">
        <f t="shared" si="7"/>
        <v>6</v>
      </c>
      <c r="R36" s="24">
        <f t="shared" si="7"/>
        <v>6</v>
      </c>
      <c r="S36" s="10">
        <f t="shared" si="7"/>
        <v>0</v>
      </c>
      <c r="T36" s="10">
        <f t="shared" si="7"/>
        <v>2</v>
      </c>
      <c r="U36" s="10">
        <f t="shared" si="7"/>
        <v>1</v>
      </c>
      <c r="V36" s="10">
        <f t="shared" si="7"/>
        <v>2</v>
      </c>
      <c r="W36" s="10">
        <f t="shared" si="7"/>
        <v>5</v>
      </c>
      <c r="X36" s="4">
        <f>SUM(H36:W36)</f>
        <v>55</v>
      </c>
    </row>
    <row r="37" spans="1:36" x14ac:dyDescent="0.25">
      <c r="A37" s="2" t="s">
        <v>61</v>
      </c>
      <c r="B37" s="10"/>
      <c r="C37" s="10">
        <f>C36-C35</f>
        <v>0</v>
      </c>
      <c r="D37" s="10">
        <f t="shared" ref="D37:W37" si="8">D36-D35</f>
        <v>0</v>
      </c>
      <c r="E37" s="10">
        <f t="shared" si="8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-1</v>
      </c>
      <c r="M37" s="10">
        <f t="shared" si="8"/>
        <v>0</v>
      </c>
      <c r="N37" s="10">
        <f t="shared" si="8"/>
        <v>0</v>
      </c>
      <c r="O37" s="10">
        <f t="shared" si="8"/>
        <v>-1</v>
      </c>
      <c r="P37" s="10">
        <f t="shared" si="8"/>
        <v>-1</v>
      </c>
      <c r="Q37" s="10">
        <f t="shared" si="8"/>
        <v>0</v>
      </c>
      <c r="R37" s="24">
        <f t="shared" si="8"/>
        <v>-1</v>
      </c>
      <c r="S37" s="10">
        <f t="shared" si="8"/>
        <v>0</v>
      </c>
      <c r="T37" s="10">
        <f t="shared" si="8"/>
        <v>0</v>
      </c>
      <c r="U37" s="10">
        <f t="shared" si="8"/>
        <v>0</v>
      </c>
      <c r="V37" s="10">
        <f t="shared" si="8"/>
        <v>0</v>
      </c>
      <c r="W37" s="10">
        <f t="shared" si="8"/>
        <v>-1</v>
      </c>
    </row>
    <row r="38" spans="1:36" x14ac:dyDescent="0.25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4"/>
      <c r="S38" s="10"/>
      <c r="T38" s="10"/>
      <c r="U38" s="10"/>
      <c r="V38" s="10"/>
      <c r="W38" s="10"/>
      <c r="X38" s="4">
        <f>SUM($AF$34:$AJ$34)</f>
        <v>84</v>
      </c>
    </row>
    <row r="39" spans="1:36" x14ac:dyDescent="0.25">
      <c r="A39" s="2" t="s">
        <v>2</v>
      </c>
      <c r="B39" s="10"/>
      <c r="C39" s="10">
        <f t="shared" ref="C39:R39" si="9">COUNTIF(C$2:C$32,$A39)</f>
        <v>0</v>
      </c>
      <c r="D39" s="10">
        <f t="shared" si="9"/>
        <v>0</v>
      </c>
      <c r="E39" s="10">
        <f t="shared" si="9"/>
        <v>0</v>
      </c>
      <c r="F39" s="10">
        <f t="shared" si="9"/>
        <v>0</v>
      </c>
      <c r="G39" s="10">
        <f t="shared" si="9"/>
        <v>2</v>
      </c>
      <c r="H39" s="10">
        <f t="shared" si="9"/>
        <v>0</v>
      </c>
      <c r="I39" s="10">
        <f t="shared" si="9"/>
        <v>0</v>
      </c>
      <c r="J39" s="10">
        <f t="shared" si="9"/>
        <v>3</v>
      </c>
      <c r="K39" s="10">
        <f t="shared" si="9"/>
        <v>2</v>
      </c>
      <c r="L39" s="10">
        <f t="shared" si="9"/>
        <v>1</v>
      </c>
      <c r="M39" s="10">
        <f t="shared" si="9"/>
        <v>1</v>
      </c>
      <c r="N39" s="10">
        <f t="shared" si="9"/>
        <v>1</v>
      </c>
      <c r="O39" s="10">
        <f t="shared" si="9"/>
        <v>2</v>
      </c>
      <c r="P39" s="10">
        <f t="shared" si="9"/>
        <v>1</v>
      </c>
      <c r="Q39" s="10">
        <f t="shared" si="9"/>
        <v>1</v>
      </c>
      <c r="R39" s="24">
        <f t="shared" si="9"/>
        <v>2</v>
      </c>
      <c r="S39" s="10">
        <f t="shared" ref="D39:V43" si="10">COUNTIF(S$2:S$32,$A39)</f>
        <v>0</v>
      </c>
      <c r="T39" s="10">
        <f t="shared" si="10"/>
        <v>0</v>
      </c>
      <c r="U39" s="10">
        <f t="shared" si="10"/>
        <v>0</v>
      </c>
      <c r="V39" s="10">
        <f t="shared" si="10"/>
        <v>0</v>
      </c>
      <c r="W39" s="10">
        <f t="shared" ref="W39:W43" si="11">COUNTIF(W$2:W$32,$A39)</f>
        <v>1</v>
      </c>
    </row>
    <row r="40" spans="1:36" x14ac:dyDescent="0.25">
      <c r="A40" s="2" t="s">
        <v>32</v>
      </c>
      <c r="B40" s="10"/>
      <c r="C40" s="10">
        <f>COUNTIF(C$2:C$32,$A40)</f>
        <v>0</v>
      </c>
      <c r="D40" s="10">
        <f t="shared" si="10"/>
        <v>0</v>
      </c>
      <c r="E40" s="10">
        <f t="shared" si="10"/>
        <v>0</v>
      </c>
      <c r="F40" s="10">
        <f t="shared" si="10"/>
        <v>0</v>
      </c>
      <c r="G40" s="10">
        <f t="shared" si="10"/>
        <v>0</v>
      </c>
      <c r="H40" s="10">
        <f t="shared" si="10"/>
        <v>0</v>
      </c>
      <c r="I40" s="10">
        <f t="shared" si="10"/>
        <v>0</v>
      </c>
      <c r="J40" s="10">
        <f t="shared" si="10"/>
        <v>0</v>
      </c>
      <c r="K40" s="10">
        <f t="shared" si="10"/>
        <v>0</v>
      </c>
      <c r="L40" s="10">
        <f t="shared" si="10"/>
        <v>1</v>
      </c>
      <c r="M40" s="10">
        <f t="shared" si="10"/>
        <v>0</v>
      </c>
      <c r="N40" s="10">
        <f t="shared" si="10"/>
        <v>0</v>
      </c>
      <c r="O40" s="10">
        <f t="shared" si="10"/>
        <v>0</v>
      </c>
      <c r="P40" s="10">
        <f t="shared" si="10"/>
        <v>1</v>
      </c>
      <c r="Q40" s="10">
        <f t="shared" si="10"/>
        <v>1</v>
      </c>
      <c r="R40" s="24">
        <f t="shared" si="10"/>
        <v>0</v>
      </c>
      <c r="S40" s="10">
        <f t="shared" si="10"/>
        <v>0</v>
      </c>
      <c r="T40" s="10">
        <f t="shared" si="10"/>
        <v>0</v>
      </c>
      <c r="U40" s="10">
        <f t="shared" si="10"/>
        <v>0</v>
      </c>
      <c r="V40" s="10">
        <f t="shared" si="10"/>
        <v>0</v>
      </c>
      <c r="W40" s="10">
        <f t="shared" si="11"/>
        <v>0</v>
      </c>
    </row>
    <row r="41" spans="1:36" x14ac:dyDescent="0.25">
      <c r="A41" s="2" t="s">
        <v>31</v>
      </c>
      <c r="B41" s="10"/>
      <c r="C41" s="10">
        <f>COUNTIF(C$2:C$32,$A41)</f>
        <v>0</v>
      </c>
      <c r="D41" s="10">
        <f t="shared" si="10"/>
        <v>0</v>
      </c>
      <c r="E41" s="10">
        <f t="shared" si="10"/>
        <v>0</v>
      </c>
      <c r="F41" s="10">
        <f t="shared" si="10"/>
        <v>0</v>
      </c>
      <c r="G41" s="10">
        <f t="shared" si="10"/>
        <v>1</v>
      </c>
      <c r="H41" s="10">
        <f t="shared" si="10"/>
        <v>0</v>
      </c>
      <c r="I41" s="10">
        <f t="shared" si="10"/>
        <v>0</v>
      </c>
      <c r="J41" s="10">
        <f t="shared" si="10"/>
        <v>0</v>
      </c>
      <c r="K41" s="10">
        <f t="shared" si="10"/>
        <v>0</v>
      </c>
      <c r="L41" s="10">
        <f t="shared" si="10"/>
        <v>2</v>
      </c>
      <c r="M41" s="10">
        <f t="shared" si="10"/>
        <v>1</v>
      </c>
      <c r="N41" s="10">
        <f t="shared" si="10"/>
        <v>1</v>
      </c>
      <c r="O41" s="10">
        <f t="shared" si="10"/>
        <v>1</v>
      </c>
      <c r="P41" s="10">
        <f t="shared" si="10"/>
        <v>3</v>
      </c>
      <c r="Q41" s="10">
        <f t="shared" si="10"/>
        <v>2</v>
      </c>
      <c r="R41" s="24">
        <f t="shared" si="10"/>
        <v>2</v>
      </c>
      <c r="S41" s="10">
        <f t="shared" si="10"/>
        <v>0</v>
      </c>
      <c r="T41" s="10">
        <f t="shared" si="10"/>
        <v>0</v>
      </c>
      <c r="U41" s="10">
        <f t="shared" si="10"/>
        <v>0</v>
      </c>
      <c r="V41" s="10">
        <f t="shared" si="10"/>
        <v>0</v>
      </c>
      <c r="W41" s="10">
        <f t="shared" si="11"/>
        <v>0</v>
      </c>
    </row>
    <row r="42" spans="1:36" x14ac:dyDescent="0.25">
      <c r="A42" s="2" t="s">
        <v>35</v>
      </c>
      <c r="B42" s="10"/>
      <c r="C42" s="10">
        <f>COUNTIF(C$2:C$32,$A42)</f>
        <v>0</v>
      </c>
      <c r="D42" s="10">
        <f t="shared" si="10"/>
        <v>0</v>
      </c>
      <c r="E42" s="10">
        <f t="shared" si="10"/>
        <v>0</v>
      </c>
      <c r="F42" s="10">
        <f t="shared" si="10"/>
        <v>0</v>
      </c>
      <c r="G42" s="10">
        <f t="shared" si="10"/>
        <v>2</v>
      </c>
      <c r="H42" s="10">
        <f t="shared" si="10"/>
        <v>0</v>
      </c>
      <c r="I42" s="10">
        <f t="shared" si="10"/>
        <v>0</v>
      </c>
      <c r="J42" s="10">
        <f t="shared" si="10"/>
        <v>1</v>
      </c>
      <c r="K42" s="10">
        <f t="shared" si="10"/>
        <v>2</v>
      </c>
      <c r="L42" s="10">
        <f t="shared" si="10"/>
        <v>1</v>
      </c>
      <c r="M42" s="10">
        <f t="shared" si="10"/>
        <v>2</v>
      </c>
      <c r="N42" s="10">
        <f t="shared" si="10"/>
        <v>4</v>
      </c>
      <c r="O42" s="10">
        <f t="shared" si="10"/>
        <v>2</v>
      </c>
      <c r="P42" s="10">
        <f t="shared" si="10"/>
        <v>2</v>
      </c>
      <c r="Q42" s="10">
        <f t="shared" si="10"/>
        <v>2</v>
      </c>
      <c r="R42" s="24">
        <f t="shared" si="10"/>
        <v>3</v>
      </c>
      <c r="S42" s="10">
        <f t="shared" si="10"/>
        <v>0</v>
      </c>
      <c r="T42" s="10">
        <f t="shared" si="10"/>
        <v>0</v>
      </c>
      <c r="U42" s="10">
        <f t="shared" si="10"/>
        <v>0</v>
      </c>
      <c r="V42" s="10">
        <f t="shared" si="10"/>
        <v>0</v>
      </c>
      <c r="W42" s="10">
        <f t="shared" si="11"/>
        <v>0</v>
      </c>
    </row>
    <row r="43" spans="1:36" x14ac:dyDescent="0.25">
      <c r="A43" s="2" t="s">
        <v>3</v>
      </c>
      <c r="B43" s="10"/>
      <c r="C43" s="10">
        <f>COUNTIF(C$2:C$32,$A43)</f>
        <v>0</v>
      </c>
      <c r="D43" s="10">
        <f t="shared" si="10"/>
        <v>0</v>
      </c>
      <c r="E43" s="10">
        <f t="shared" si="10"/>
        <v>0</v>
      </c>
      <c r="F43" s="10">
        <f t="shared" si="10"/>
        <v>0</v>
      </c>
      <c r="G43" s="10">
        <f t="shared" si="10"/>
        <v>0</v>
      </c>
      <c r="H43" s="10">
        <f t="shared" si="10"/>
        <v>0</v>
      </c>
      <c r="I43" s="10">
        <f t="shared" si="10"/>
        <v>0</v>
      </c>
      <c r="J43" s="10">
        <f t="shared" si="10"/>
        <v>0</v>
      </c>
      <c r="K43" s="10">
        <f t="shared" si="10"/>
        <v>0</v>
      </c>
      <c r="L43" s="10">
        <f t="shared" si="10"/>
        <v>0</v>
      </c>
      <c r="M43" s="10">
        <f t="shared" si="10"/>
        <v>0</v>
      </c>
      <c r="N43" s="10">
        <f t="shared" si="10"/>
        <v>0</v>
      </c>
      <c r="O43" s="10">
        <f t="shared" si="10"/>
        <v>1</v>
      </c>
      <c r="P43" s="10">
        <f t="shared" si="10"/>
        <v>0</v>
      </c>
      <c r="Q43" s="10">
        <f t="shared" si="10"/>
        <v>0</v>
      </c>
      <c r="R43" s="24">
        <f t="shared" si="10"/>
        <v>0</v>
      </c>
      <c r="S43" s="10">
        <f t="shared" si="10"/>
        <v>0</v>
      </c>
      <c r="T43" s="10">
        <f t="shared" si="10"/>
        <v>2</v>
      </c>
      <c r="U43" s="10">
        <f t="shared" si="10"/>
        <v>1</v>
      </c>
      <c r="V43" s="10">
        <f t="shared" si="10"/>
        <v>2</v>
      </c>
      <c r="W43" s="10">
        <f t="shared" si="11"/>
        <v>5</v>
      </c>
    </row>
    <row r="44" spans="1:36" x14ac:dyDescent="0.25">
      <c r="A44" s="2" t="s">
        <v>5</v>
      </c>
      <c r="C44" s="2">
        <f t="shared" ref="C44:V44" si="12">COUNTIFS(C1:C31,"Trauma",$A1:$A31,$A44)+COUNTIFS(C1:C31,"CHP*",$A1:$A31,$A44)+COUNTIFS(C1:C31,"SHY",$A1:$A31,$A44)+COUNTIFS(C1:C31,"CT",$A1:$A31,$A44)</f>
        <v>0</v>
      </c>
      <c r="D44" s="2">
        <f t="shared" si="12"/>
        <v>0</v>
      </c>
      <c r="E44" s="2">
        <f t="shared" si="12"/>
        <v>0</v>
      </c>
      <c r="F44" s="2">
        <f t="shared" si="12"/>
        <v>0</v>
      </c>
      <c r="G44" s="2">
        <f t="shared" si="12"/>
        <v>0</v>
      </c>
      <c r="H44" s="2">
        <f t="shared" si="12"/>
        <v>0</v>
      </c>
      <c r="I44" s="2">
        <f t="shared" si="12"/>
        <v>0</v>
      </c>
      <c r="J44" s="2">
        <f t="shared" si="12"/>
        <v>1</v>
      </c>
      <c r="K44" s="2">
        <f t="shared" si="12"/>
        <v>1</v>
      </c>
      <c r="L44" s="2">
        <f t="shared" si="12"/>
        <v>0</v>
      </c>
      <c r="M44" s="2">
        <f t="shared" si="12"/>
        <v>1</v>
      </c>
      <c r="N44" s="2">
        <f t="shared" si="12"/>
        <v>1</v>
      </c>
      <c r="O44" s="2">
        <f t="shared" si="12"/>
        <v>1</v>
      </c>
      <c r="P44" s="2">
        <f t="shared" si="12"/>
        <v>2</v>
      </c>
      <c r="Q44" s="2">
        <f t="shared" si="12"/>
        <v>1</v>
      </c>
      <c r="R44" s="3">
        <f t="shared" si="12"/>
        <v>0</v>
      </c>
      <c r="S44" s="2">
        <f t="shared" si="12"/>
        <v>0</v>
      </c>
      <c r="T44" s="2">
        <f t="shared" si="12"/>
        <v>0</v>
      </c>
      <c r="U44" s="2">
        <f t="shared" si="12"/>
        <v>1</v>
      </c>
      <c r="V44" s="2">
        <f t="shared" si="12"/>
        <v>0</v>
      </c>
      <c r="W44" s="2">
        <f t="shared" ref="W44" si="13">COUNTIFS(W1:W31,"Trauma",$A1:$A31,$A44)+COUNTIFS(W1:W31,"CHP*",$A1:$A31,$A44)+COUNTIFS(W1:W31,"SHY",$A1:$A31,$A44)+COUNTIFS(W1:W31,"CT",$A1:$A31,$A44)</f>
        <v>0</v>
      </c>
    </row>
    <row r="45" spans="1:36" x14ac:dyDescent="0.25">
      <c r="A45" s="2" t="s">
        <v>6</v>
      </c>
      <c r="C45" s="2">
        <f t="shared" ref="C45:V45" si="14">COUNTIFS(C2:C32,"Trauma",$A2:$A32,$A45)+COUNTIFS(C2:C32,"CHP*",$A2:$A32,$A45)+COUNTIFS(C2:C32,"SHY",$A2:$A32,$A45)+COUNTIFS(C2:C32,"CT",$A2:$A32,$A45)</f>
        <v>0</v>
      </c>
      <c r="D45" s="2">
        <f t="shared" si="14"/>
        <v>0</v>
      </c>
      <c r="E45" s="2">
        <f t="shared" si="14"/>
        <v>0</v>
      </c>
      <c r="F45" s="2">
        <f t="shared" si="14"/>
        <v>0</v>
      </c>
      <c r="G45" s="2">
        <f t="shared" si="14"/>
        <v>0</v>
      </c>
      <c r="H45" s="2">
        <f t="shared" si="14"/>
        <v>0</v>
      </c>
      <c r="I45" s="2">
        <f t="shared" si="14"/>
        <v>0</v>
      </c>
      <c r="J45" s="2">
        <f t="shared" si="14"/>
        <v>0</v>
      </c>
      <c r="K45" s="2">
        <f t="shared" si="14"/>
        <v>0</v>
      </c>
      <c r="L45" s="2">
        <f t="shared" si="14"/>
        <v>0</v>
      </c>
      <c r="M45" s="2">
        <f t="shared" si="14"/>
        <v>0</v>
      </c>
      <c r="N45" s="2">
        <f t="shared" si="14"/>
        <v>0</v>
      </c>
      <c r="O45" s="2">
        <f t="shared" si="14"/>
        <v>0</v>
      </c>
      <c r="P45" s="2">
        <f t="shared" si="14"/>
        <v>1</v>
      </c>
      <c r="Q45" s="2">
        <f t="shared" si="14"/>
        <v>0</v>
      </c>
      <c r="R45" s="3">
        <f t="shared" si="14"/>
        <v>0</v>
      </c>
      <c r="S45" s="2">
        <f t="shared" si="14"/>
        <v>0</v>
      </c>
      <c r="T45" s="2">
        <f t="shared" si="14"/>
        <v>0</v>
      </c>
      <c r="U45" s="2">
        <f t="shared" si="14"/>
        <v>0</v>
      </c>
      <c r="V45" s="2">
        <f t="shared" si="14"/>
        <v>0</v>
      </c>
      <c r="W45" s="2">
        <f t="shared" ref="W45" si="15">COUNTIFS(W2:W32,"Trauma",$A2:$A32,$A45)+COUNTIFS(W2:W32,"CHP*",$A2:$A32,$A45)+COUNTIFS(W2:W32,"SHY",$A2:$A32,$A45)+COUNTIFS(W2:W32,"CT",$A2:$A32,$A45)</f>
        <v>0</v>
      </c>
    </row>
    <row r="46" spans="1:36" x14ac:dyDescent="0.25">
      <c r="A46" s="2" t="s">
        <v>7</v>
      </c>
      <c r="C46" s="2">
        <f t="shared" ref="C46:V46" si="16">COUNTIFS(C3:C33,"Trauma",$A3:$A33,$A46)+COUNTIFS(C3:C33,"CHP*",$A3:$A33,$A46)+COUNTIFS(C3:C33,"SHY",$A3:$A33,$A46)+COUNTIFS(C3:C33,"CT",$A3:$A33,$A46)</f>
        <v>0</v>
      </c>
      <c r="D46" s="2">
        <f t="shared" si="16"/>
        <v>0</v>
      </c>
      <c r="E46" s="2">
        <f t="shared" si="16"/>
        <v>0</v>
      </c>
      <c r="F46" s="2">
        <f t="shared" si="16"/>
        <v>0</v>
      </c>
      <c r="G46" s="2">
        <f t="shared" si="16"/>
        <v>0</v>
      </c>
      <c r="H46" s="2">
        <f t="shared" si="16"/>
        <v>0</v>
      </c>
      <c r="I46" s="2">
        <f t="shared" si="16"/>
        <v>0</v>
      </c>
      <c r="J46" s="2">
        <f t="shared" si="16"/>
        <v>0</v>
      </c>
      <c r="K46" s="2">
        <f t="shared" si="16"/>
        <v>0</v>
      </c>
      <c r="L46" s="2">
        <f t="shared" si="16"/>
        <v>0</v>
      </c>
      <c r="M46" s="2">
        <f t="shared" si="16"/>
        <v>1</v>
      </c>
      <c r="N46" s="2">
        <f t="shared" si="16"/>
        <v>1</v>
      </c>
      <c r="O46" s="2">
        <f t="shared" si="16"/>
        <v>0</v>
      </c>
      <c r="P46" s="2">
        <f t="shared" si="16"/>
        <v>1</v>
      </c>
      <c r="Q46" s="2">
        <f t="shared" si="16"/>
        <v>2</v>
      </c>
      <c r="R46" s="3">
        <f t="shared" si="16"/>
        <v>0</v>
      </c>
      <c r="S46" s="2">
        <f t="shared" si="16"/>
        <v>0</v>
      </c>
      <c r="T46" s="2">
        <f t="shared" si="16"/>
        <v>0</v>
      </c>
      <c r="U46" s="2">
        <f t="shared" si="16"/>
        <v>0</v>
      </c>
      <c r="V46" s="2">
        <f t="shared" si="16"/>
        <v>0</v>
      </c>
      <c r="W46" s="2">
        <f t="shared" ref="W46" si="17">COUNTIFS(W3:W33,"Trauma",$A3:$A33,$A46)+COUNTIFS(W3:W33,"CHP*",$A3:$A33,$A46)+COUNTIFS(W3:W33,"SHY",$A3:$A33,$A46)+COUNTIFS(W3:W33,"CT",$A3:$A33,$A46)</f>
        <v>0</v>
      </c>
    </row>
    <row r="47" spans="1:36" x14ac:dyDescent="0.25">
      <c r="A47" s="2" t="s">
        <v>37</v>
      </c>
      <c r="C47" s="2">
        <f>SUM(C44:C46)</f>
        <v>0</v>
      </c>
      <c r="D47" s="2">
        <f t="shared" ref="D47:V47" si="18">SUM(D44:D46)</f>
        <v>0</v>
      </c>
      <c r="E47" s="2">
        <f t="shared" si="18"/>
        <v>0</v>
      </c>
      <c r="F47" s="2">
        <f t="shared" si="18"/>
        <v>0</v>
      </c>
      <c r="G47" s="2">
        <f t="shared" si="18"/>
        <v>0</v>
      </c>
      <c r="H47" s="2">
        <f t="shared" si="18"/>
        <v>0</v>
      </c>
      <c r="I47" s="2">
        <f t="shared" si="18"/>
        <v>0</v>
      </c>
      <c r="J47" s="2">
        <f t="shared" si="18"/>
        <v>1</v>
      </c>
      <c r="K47" s="2">
        <f t="shared" si="18"/>
        <v>1</v>
      </c>
      <c r="L47" s="2">
        <f t="shared" si="18"/>
        <v>0</v>
      </c>
      <c r="M47" s="2">
        <f t="shared" si="18"/>
        <v>2</v>
      </c>
      <c r="N47" s="2">
        <f t="shared" si="18"/>
        <v>2</v>
      </c>
      <c r="O47" s="2">
        <f t="shared" si="18"/>
        <v>1</v>
      </c>
      <c r="P47" s="2">
        <f t="shared" si="18"/>
        <v>4</v>
      </c>
      <c r="Q47" s="2">
        <f t="shared" si="18"/>
        <v>3</v>
      </c>
      <c r="R47" s="3">
        <f t="shared" si="18"/>
        <v>0</v>
      </c>
      <c r="S47" s="2">
        <f t="shared" si="18"/>
        <v>0</v>
      </c>
      <c r="T47" s="2">
        <f t="shared" si="18"/>
        <v>0</v>
      </c>
      <c r="U47" s="2">
        <f t="shared" si="18"/>
        <v>1</v>
      </c>
      <c r="V47" s="2">
        <f t="shared" si="18"/>
        <v>0</v>
      </c>
      <c r="W47" s="2">
        <f t="shared" ref="W47" si="19">SUM(W44:W46)</f>
        <v>0</v>
      </c>
    </row>
    <row r="48" spans="1:36" x14ac:dyDescent="0.25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26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>
        <f>SUMPRODUCT(COUNTIFS($A$2:$A$32,{"Fri";"Sat";"Sun"},W$2:W$32,"x"))/$B48</f>
        <v>1</v>
      </c>
    </row>
    <row r="49" spans="1:23" x14ac:dyDescent="0.25">
      <c r="A49" s="4" t="s">
        <v>50</v>
      </c>
      <c r="B49" s="2">
        <f>SUMPRODUCT(COUNTIF(A2:A32,{"Mon";"Tue";"Wed";"Thu";"Fri";"Sat";"Sun"}))</f>
        <v>30</v>
      </c>
      <c r="C49" s="12">
        <f t="shared" ref="C49:T49" si="20">COUNTIF(C$2:C$32,"x")/$B49</f>
        <v>1</v>
      </c>
      <c r="D49" s="12">
        <f t="shared" si="20"/>
        <v>1</v>
      </c>
      <c r="E49" s="12">
        <f t="shared" si="20"/>
        <v>1</v>
      </c>
      <c r="F49" s="12">
        <f t="shared" si="20"/>
        <v>1</v>
      </c>
      <c r="G49" s="12">
        <f t="shared" si="20"/>
        <v>0.3</v>
      </c>
      <c r="H49" s="12">
        <f t="shared" si="20"/>
        <v>1</v>
      </c>
      <c r="I49" s="12">
        <f t="shared" si="20"/>
        <v>1</v>
      </c>
      <c r="J49" s="12">
        <f t="shared" si="20"/>
        <v>0.66666666666666663</v>
      </c>
      <c r="K49" s="12">
        <f t="shared" si="20"/>
        <v>0.53333333333333333</v>
      </c>
      <c r="L49" s="12">
        <f t="shared" si="20"/>
        <v>0.43333333333333335</v>
      </c>
      <c r="M49" s="12">
        <f t="shared" si="20"/>
        <v>0.1</v>
      </c>
      <c r="N49" s="12">
        <f t="shared" si="20"/>
        <v>0.53333333333333333</v>
      </c>
      <c r="O49" s="12">
        <f t="shared" si="20"/>
        <v>0.26666666666666666</v>
      </c>
      <c r="P49" s="12">
        <f t="shared" si="20"/>
        <v>6.6666666666666666E-2</v>
      </c>
      <c r="Q49" s="12">
        <f t="shared" si="20"/>
        <v>0.26666666666666666</v>
      </c>
      <c r="R49" s="26">
        <f t="shared" si="20"/>
        <v>0.56666666666666665</v>
      </c>
      <c r="S49" s="12">
        <f t="shared" si="20"/>
        <v>1</v>
      </c>
      <c r="T49" s="12">
        <f t="shared" si="20"/>
        <v>0.5</v>
      </c>
      <c r="U49" s="12">
        <f>COUNTIF(U$2:U$32,"x")/$B49</f>
        <v>0.96666666666666667</v>
      </c>
      <c r="V49" s="12">
        <f t="shared" ref="V49:W49" si="21">COUNTIF(V$2:V$32,"x")/$B49</f>
        <v>0.7</v>
      </c>
      <c r="W49" s="12">
        <f t="shared" si="21"/>
        <v>0.76666666666666672</v>
      </c>
    </row>
    <row r="50" spans="1:23" x14ac:dyDescent="0.25">
      <c r="A50" s="4"/>
      <c r="B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27"/>
      <c r="S50" s="13"/>
      <c r="T50" s="13"/>
      <c r="U50" s="13"/>
      <c r="V50" s="13"/>
      <c r="W50" s="13"/>
    </row>
    <row r="51" spans="1:23" x14ac:dyDescent="0.25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27"/>
      <c r="S51" s="13"/>
      <c r="T51" s="13"/>
      <c r="U51" s="13"/>
      <c r="V51" s="13"/>
      <c r="W51" s="13"/>
    </row>
    <row r="52" spans="1:23" x14ac:dyDescent="0.25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27"/>
      <c r="S52" s="13"/>
      <c r="T52" s="13"/>
      <c r="U52" s="13"/>
      <c r="V52" s="13"/>
      <c r="W52" s="13"/>
    </row>
    <row r="53" spans="1:23" x14ac:dyDescent="0.25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27"/>
      <c r="S53" s="13"/>
      <c r="T53" s="13"/>
      <c r="U53" s="13"/>
      <c r="V53" s="13"/>
      <c r="W53" s="13"/>
    </row>
    <row r="54" spans="1:23" x14ac:dyDescent="0.25">
      <c r="C54" s="4" t="s">
        <v>56</v>
      </c>
    </row>
    <row r="55" spans="1:23" x14ac:dyDescent="0.25">
      <c r="C55" s="4" t="s">
        <v>57</v>
      </c>
    </row>
    <row r="57" spans="1:23" x14ac:dyDescent="0.25">
      <c r="F57" s="9"/>
      <c r="G57" s="9"/>
    </row>
  </sheetData>
  <conditionalFormatting sqref="P8:R8 U3:U9 U12:U33 T3:T33 C31:S32 G4:G30 C2:F30 J23:S30 J4:R7 J8:N8 J9:R22 S2:S22 H2:I30 U10:V11 T2:V2 V2:W32">
    <cfRule type="containsText" dxfId="38" priority="74" stopIfTrue="1" operator="containsText" text="CHP Jr.">
      <formula>NOT(ISERROR(SEARCH("CHP Jr.",C2)))</formula>
    </cfRule>
    <cfRule type="containsText" dxfId="37" priority="92" stopIfTrue="1" operator="containsText" text="SHY">
      <formula>NOT(ISERROR(SEARCH("SHY",C2)))</formula>
    </cfRule>
    <cfRule type="containsText" dxfId="36" priority="93" stopIfTrue="1" operator="containsText" text="CT">
      <formula>NOT(ISERROR(SEARCH("CT",C2)))</formula>
    </cfRule>
  </conditionalFormatting>
  <conditionalFormatting sqref="AH1:AI1048576 AB1:AC1048576">
    <cfRule type="notContainsBlanks" dxfId="35" priority="95">
      <formula>LEN(TRIM(AB1))&gt;0</formula>
    </cfRule>
  </conditionalFormatting>
  <conditionalFormatting sqref="U12:U33 C32:S32 T32:T33 C31:T31 G4:G30 C2:F30 J23:T30 J4:R22 T3:T22 S2:S22 H2:I30 W2:W32 T2:V2 U3:V11 V12:V32">
    <cfRule type="containsText" dxfId="34" priority="48" operator="containsText" text="Transplant">
      <formula>NOT(ISERROR(SEARCH("Transplant",C2)))</formula>
    </cfRule>
    <cfRule type="containsText" dxfId="33" priority="94" stopIfTrue="1" operator="containsText" text="CHP Sr.">
      <formula>NOT(ISERROR(SEARCH("CHP Sr.",C2)))</formula>
    </cfRule>
  </conditionalFormatting>
  <conditionalFormatting sqref="O8">
    <cfRule type="containsText" dxfId="32" priority="39" stopIfTrue="1" operator="containsText" text="CHP Jr.">
      <formula>NOT(ISERROR(SEARCH("CHP Jr.",O8)))</formula>
    </cfRule>
    <cfRule type="containsText" dxfId="31" priority="40" stopIfTrue="1" operator="containsText" text="Trauma">
      <formula>NOT(ISERROR(SEARCH("Trauma",O8)))</formula>
    </cfRule>
    <cfRule type="containsText" dxfId="30" priority="41" stopIfTrue="1" operator="containsText" text="SHY">
      <formula>NOT(ISERROR(SEARCH("SHY",O8)))</formula>
    </cfRule>
    <cfRule type="containsText" dxfId="29" priority="42" stopIfTrue="1" operator="containsText" text="CT">
      <formula>NOT(ISERROR(SEARCH("CT",O8)))</formula>
    </cfRule>
  </conditionalFormatting>
  <conditionalFormatting sqref="G2:G3 J2:R3">
    <cfRule type="containsText" dxfId="28" priority="32" stopIfTrue="1" operator="containsText" text="CHP Jr.">
      <formula>NOT(ISERROR(SEARCH("CHP Jr.",G2)))</formula>
    </cfRule>
    <cfRule type="containsText" dxfId="27" priority="33" stopIfTrue="1" operator="containsText" text="Trauma">
      <formula>NOT(ISERROR(SEARCH("Trauma",G2)))</formula>
    </cfRule>
    <cfRule type="containsText" dxfId="26" priority="34" stopIfTrue="1" operator="containsText" text="SHY">
      <formula>NOT(ISERROR(SEARCH("SHY",G2)))</formula>
    </cfRule>
    <cfRule type="containsText" dxfId="25" priority="35" stopIfTrue="1" operator="containsText" text="CT">
      <formula>NOT(ISERROR(SEARCH("CT",G2)))</formula>
    </cfRule>
  </conditionalFormatting>
  <conditionalFormatting sqref="G2:G3 J2:R3">
    <cfRule type="containsText" dxfId="24" priority="31" operator="containsText" text="Transplant">
      <formula>NOT(ISERROR(SEARCH("Transplant",G2)))</formula>
    </cfRule>
    <cfRule type="containsText" dxfId="23" priority="36" stopIfTrue="1" operator="containsText" text="CHP Sr.">
      <formula>NOT(ISERROR(SEARCH("CHP Sr.",G2)))</formula>
    </cfRule>
  </conditionalFormatting>
  <conditionalFormatting sqref="AG1:AG1048576 AA1:AA1048576">
    <cfRule type="notContainsBlanks" dxfId="22" priority="30">
      <formula>LEN(TRIM(AA1))&gt;0</formula>
    </cfRule>
  </conditionalFormatting>
  <conditionalFormatting sqref="AJ1:AJ1048576 AD1:AE1 AD33:AE1048576 AD2:AD32">
    <cfRule type="notContainsBlanks" dxfId="21" priority="29">
      <formula>LEN(TRIM(AD1))&gt;0</formula>
    </cfRule>
  </conditionalFormatting>
  <conditionalFormatting sqref="AF1:AF1048576 Z1:Z1048576">
    <cfRule type="notContainsBlanks" dxfId="20" priority="26">
      <formula>LEN(TRIM(Z1))&gt;0</formula>
    </cfRule>
  </conditionalFormatting>
  <conditionalFormatting sqref="AA2:AD32">
    <cfRule type="notContainsBlanks" dxfId="19" priority="96">
      <formula>LEN(TRIM(AA2))&gt;0</formula>
    </cfRule>
  </conditionalFormatting>
  <conditionalFormatting sqref="C47:W47">
    <cfRule type="cellIs" dxfId="18" priority="19" operator="greaterThanOrEqual">
      <formula>3</formula>
    </cfRule>
    <cfRule type="cellIs" dxfId="17" priority="20" operator="equal">
      <formula>2</formula>
    </cfRule>
  </conditionalFormatting>
  <conditionalFormatting sqref="P8:R8 U12:U33 C31:S32 T3:T33 G4:G30 C2:F30 J23:S30 J4:R7 J8:N8 J9:R22 S2:S22 H2:I30 W2:W32 T2:V2 U3:V11 V12:V32">
    <cfRule type="containsText" dxfId="16" priority="91" stopIfTrue="1" operator="containsText" text="Trauma">
      <formula>NOT(ISERROR(SEARCH("Trauma",C2)))</formula>
    </cfRule>
  </conditionalFormatting>
  <conditionalFormatting sqref="A39:W39">
    <cfRule type="expression" dxfId="15" priority="16">
      <formula>$A39="Trauma"</formula>
    </cfRule>
  </conditionalFormatting>
  <conditionalFormatting sqref="A40:W40">
    <cfRule type="expression" dxfId="14" priority="14">
      <formula>$A$40="CHP Sr."</formula>
    </cfRule>
  </conditionalFormatting>
  <conditionalFormatting sqref="A41:W41">
    <cfRule type="expression" dxfId="13" priority="12">
      <formula>$A$41="CHP Jr."</formula>
    </cfRule>
  </conditionalFormatting>
  <conditionalFormatting sqref="A46:W46">
    <cfRule type="expression" dxfId="12" priority="8">
      <formula>$A$46="Sun"</formula>
    </cfRule>
  </conditionalFormatting>
  <conditionalFormatting sqref="A42:W42">
    <cfRule type="expression" dxfId="11" priority="7">
      <formula>$A$42="SHY"</formula>
    </cfRule>
  </conditionalFormatting>
  <conditionalFormatting sqref="A43:W43">
    <cfRule type="expression" dxfId="10" priority="6">
      <formula>$A$43="CT"</formula>
    </cfRule>
  </conditionalFormatting>
  <conditionalFormatting sqref="A44:W44">
    <cfRule type="expression" dxfId="9" priority="5">
      <formula>$A$44="Fri"</formula>
    </cfRule>
  </conditionalFormatting>
  <conditionalFormatting sqref="A45:W45">
    <cfRule type="expression" dxfId="8" priority="4">
      <formula>$A$45="Sat"</formula>
    </cfRule>
  </conditionalFormatting>
  <conditionalFormatting sqref="Z2:AD31">
    <cfRule type="cellIs" dxfId="7" priority="3" operator="equal">
      <formula>"ERROR"</formula>
    </cfRule>
  </conditionalFormatting>
  <conditionalFormatting sqref="A37:XFD37">
    <cfRule type="cellIs" dxfId="6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2017-06-18T20:25:56Z</dcterms:modified>
</cp:coreProperties>
</file>