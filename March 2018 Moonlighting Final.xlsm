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C49001C6-B784-4D6D-B0CE-7FE8AE42D725}" xr6:coauthVersionLast="28" xr6:coauthVersionMax="28" xr10:uidLastSave="{00000000-0000-0000-0000-000000000000}"/>
  <workbookProtection workbookAlgorithmName="SHA-512" workbookHashValue="a6mn575qHfR/J7NoxHL5O7TZ65BwYlrcHkyukRFOndWLZvIewEX2IawoxPzAX7F6rHva4pFQA5gZ2TMKcKA5JA==" workbookSaltValue="oJnxOdhGNOstEmHHZgY41A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<sst xmlns="http://schemas.openxmlformats.org/spreadsheetml/2006/main" count="600" uniqueCount="72">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</sst>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4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7" sqref="M37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/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NEEDS COVERAGE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>CT</v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>Beidas</v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/>
      </c>
      <c r="M20" s="24" t="str">
        <f>IF(ISBLANK(Master!M20),"",Master!M20)</f>
        <v>SHY</v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Gallagher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>CHP Jr.</v>
      </c>
      <c r="K30" s="24" t="str">
        <f>IF(ISBLANK(Master!K30),"",Master!K30)</f>
        <v>x</v>
      </c>
      <c r="L30" s="24" t="str">
        <f>IF(ISBLANK(Master!L30),"",Master!L30)</f>
        <v>SHY</v>
      </c>
      <c r="M30" s="24" t="str">
        <f>IF(ISBLANK(Master!M30),"",Master!M30)</f>
        <v/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CT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Dadashzadeh</v>
      </c>
      <c r="Y30" s="23" t="str">
        <f>IF(ISBLANK(Master!Z30),"",Master!Z30)</f>
        <v/>
      </c>
      <c r="Z30" s="23" t="str">
        <f>IF(ISBLANK(Master!AA30),"",Master!AA30)</f>
        <v>Tam</v>
      </c>
      <c r="AA30" s="23" t="str">
        <f>IF(ISBLANK(Master!AB30),"",Master!AB30)</f>
        <v>Beidas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>CT</v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Beidas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5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3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6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5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1" sqref="J31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9" width="7.84375" style="3" customWidth="1"/>
    <col min="10" max="10" width="7.84375" style="5" customWidth="1"/>
    <col min="11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2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2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2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2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2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2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2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2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2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2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NEEDS COVERAGE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2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2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2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2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2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2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2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>Beidas</v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 t="s">
        <v>39</v>
      </c>
      <c r="AL18" s="28"/>
      <c r="AM18" s="34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2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2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Gallagher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2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2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2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2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2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2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2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2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2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2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Dadashzadeh</v>
      </c>
      <c r="Z30" s="1" t="str">
        <f t="shared" si="5"/>
        <v/>
      </c>
      <c r="AA30" s="1" t="str">
        <f t="shared" si="6"/>
        <v>Tam</v>
      </c>
      <c r="AB30" s="1" t="str">
        <f t="shared" si="7"/>
        <v>Beidas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 t="s">
        <v>39</v>
      </c>
      <c r="AJ30" s="1" t="s">
        <v>39</v>
      </c>
      <c r="AL30" s="28"/>
      <c r="AM30" s="35"/>
      <c r="AN30" s="14"/>
    </row>
    <row r="31" spans="1:40" s="5" customFormat="1" x14ac:dyDescent="0.4">
      <c r="A31" s="2" t="s">
        <v>5</v>
      </c>
      <c r="B31" s="16">
        <v>30</v>
      </c>
      <c r="C31" s="2"/>
      <c r="D31" s="2" t="s">
        <v>39</v>
      </c>
      <c r="E31" s="2"/>
      <c r="F31" s="2" t="s">
        <v>39</v>
      </c>
      <c r="G31" s="2"/>
      <c r="H31" s="2" t="s">
        <v>39</v>
      </c>
      <c r="I31" s="2" t="s">
        <v>39</v>
      </c>
      <c r="J31" s="2"/>
      <c r="K31" s="2"/>
      <c r="L31" s="2"/>
      <c r="M31" s="2" t="s">
        <v>39</v>
      </c>
      <c r="N31" s="2"/>
      <c r="O31" s="2" t="s">
        <v>39</v>
      </c>
      <c r="P31" s="2" t="s">
        <v>39</v>
      </c>
      <c r="Q31" s="2" t="s">
        <v>2</v>
      </c>
      <c r="R31" s="2" t="s">
        <v>39</v>
      </c>
      <c r="S31" s="2" t="s">
        <v>39</v>
      </c>
      <c r="T31" s="2" t="s">
        <v>3</v>
      </c>
      <c r="U31" s="2" t="s">
        <v>39</v>
      </c>
      <c r="V31" s="2" t="s">
        <v>39</v>
      </c>
      <c r="W31" s="5" t="s">
        <v>62</v>
      </c>
      <c r="X31" s="2" t="str">
        <f t="shared" si="3"/>
        <v>Nicholson</v>
      </c>
      <c r="Y31" s="2" t="str">
        <f t="shared" si="4"/>
        <v/>
      </c>
      <c r="Z31" s="2" t="str">
        <f t="shared" si="5"/>
        <v/>
      </c>
      <c r="AA31" s="2" t="str">
        <f t="shared" si="6"/>
        <v/>
      </c>
      <c r="AB31" s="2" t="str">
        <f t="shared" si="7"/>
        <v>Beidas</v>
      </c>
      <c r="AC31" s="2" t="str">
        <f t="shared" si="1"/>
        <v/>
      </c>
      <c r="AD31" s="2" t="str">
        <f t="shared" si="2"/>
        <v/>
      </c>
      <c r="AE31" s="2"/>
      <c r="AF31" s="2" t="s">
        <v>39</v>
      </c>
      <c r="AG31" s="2"/>
      <c r="AH31" s="2"/>
      <c r="AI31" s="2"/>
      <c r="AJ31" s="2" t="s">
        <v>39</v>
      </c>
      <c r="AK31" s="2"/>
      <c r="AL31" s="40"/>
      <c r="AM31" s="42"/>
      <c r="AN31" s="41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2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3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2</v>
      </c>
      <c r="AJ34" s="1">
        <f>COUNTIF(AJ2:AJ31,"x")</f>
        <v>26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2">
        <f t="shared" si="9"/>
        <v>6</v>
      </c>
      <c r="K35" s="1">
        <f t="shared" si="9"/>
        <v>3</v>
      </c>
      <c r="L35" s="1">
        <f t="shared" si="9"/>
        <v>5</v>
      </c>
      <c r="M35" s="1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5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16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5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46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16">
        <f t="shared" si="12"/>
        <v>-1</v>
      </c>
      <c r="K37" s="9">
        <f t="shared" si="12"/>
        <v>0</v>
      </c>
      <c r="L37" s="9">
        <f t="shared" si="12"/>
        <v>0</v>
      </c>
      <c r="M37" s="9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72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16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16">
        <f t="shared" si="13"/>
        <v>1</v>
      </c>
      <c r="K39" s="9">
        <f t="shared" si="13"/>
        <v>2</v>
      </c>
      <c r="L39" s="9">
        <f t="shared" si="13"/>
        <v>2</v>
      </c>
      <c r="M39" s="9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16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16">
        <f t="shared" si="13"/>
        <v>1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16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16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5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2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2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2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2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2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4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38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38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0.61290322580645162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39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39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39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2018-03-02T14:46:26Z</dcterms:modified>
</cp:coreProperties>
</file>