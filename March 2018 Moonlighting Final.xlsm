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+/lcRmJsuDmZIzJ45JEuLM5xCGudcSrW4nk2iJlI5a2opeQ2fc4SEDqtD6hrksoFi3piMVIuDMV6V155wo13zQ==" workbookSaltValue="kzvvN+7gcsqyJPcVVyYjxg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<sst xmlns="http://schemas.openxmlformats.org/spreadsheetml/2006/main" count="595" uniqueCount="72">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</sst>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42" sqref="I42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>CT</v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Beidas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/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NEEDS COVERAGE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/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/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>SHY</v>
      </c>
      <c r="M20" s="24" t="str">
        <f>IF(ISBLANK(Master!M20),"",Master!M20)</f>
        <v/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Dadashzadeh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/>
      </c>
      <c r="K30" s="24" t="str">
        <f>IF(ISBLANK(Master!K30),"",Master!K30)</f>
        <v>x</v>
      </c>
      <c r="L30" s="24" t="str">
        <f>IF(ISBLANK(Master!L30),"",Master!L30)</f>
        <v/>
      </c>
      <c r="M30" s="24" t="str">
        <f>IF(ISBLANK(Master!M30),"",Master!M30)</f>
        <v>SHY</v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x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Gallagher</v>
      </c>
      <c r="Y30" s="23" t="str">
        <f>IF(ISBLANK(Master!Z30),"",Master!Z30)</f>
        <v/>
      </c>
      <c r="Z30" s="23" t="str">
        <f>IF(ISBLANK(Master!AA30),"",Master!AA30)</f>
        <v/>
      </c>
      <c r="AA30" s="23" t="str">
        <f>IF(ISBLANK(Master!AB30),"",Master!AB30)</f>
        <v>NEEDS COVERAGE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/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NEEDS COVERAGE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3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3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5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4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3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H7" activePane="bottomRight" state="frozen"/>
      <selection pane="topRight" activeCell="C1" sqref="C1"/>
      <selection pane="bottomLeft" activeCell="A2" sqref="A2"/>
      <selection pane="bottomRight" activeCell="O34" sqref="O3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4" width="7.84375" style="3" customWidth="1"/>
    <col min="15" max="15" width="7.84375" style="5" customWidth="1"/>
    <col min="16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2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2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2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2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2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2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2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2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2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2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2"/>
      <c r="P11" s="1" t="s">
        <v>39</v>
      </c>
      <c r="Q11" s="1" t="s">
        <v>39</v>
      </c>
      <c r="R11" s="1" t="s">
        <v>39</v>
      </c>
      <c r="S11" s="1" t="s">
        <v>39</v>
      </c>
      <c r="T11" s="1" t="s">
        <v>3</v>
      </c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Beidas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2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2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2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2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2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/>
      <c r="N17" s="1"/>
      <c r="O17" s="2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NEEDS COVERAGE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2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/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/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/>
      <c r="AL18" s="28"/>
      <c r="AM18" s="34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2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 t="s">
        <v>23</v>
      </c>
      <c r="M20" s="1"/>
      <c r="N20" s="1" t="s">
        <v>39</v>
      </c>
      <c r="O20" s="2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Dadashzadeh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2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2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2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2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2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2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2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 t="s">
        <v>2</v>
      </c>
      <c r="M28" s="1" t="s">
        <v>39</v>
      </c>
      <c r="N28" s="1"/>
      <c r="O28" s="2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2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/>
      <c r="M30" s="1" t="s">
        <v>23</v>
      </c>
      <c r="N30" s="1"/>
      <c r="O30" s="2"/>
      <c r="P30" s="1"/>
      <c r="Q30" s="1"/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Gallagher</v>
      </c>
      <c r="Z30" s="1" t="str">
        <f t="shared" si="5"/>
        <v/>
      </c>
      <c r="AA30" s="1" t="str">
        <f t="shared" si="6"/>
        <v/>
      </c>
      <c r="AB30" s="1" t="str">
        <f t="shared" si="7"/>
        <v>NEEDS COVERAGE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/>
      <c r="AJ30" s="1" t="s">
        <v>39</v>
      </c>
      <c r="AL30" s="28"/>
      <c r="AM30" s="35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2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/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NEEDS COVERAGE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1"/>
      <c r="AI31" s="1"/>
      <c r="AJ31" s="1" t="s">
        <v>39</v>
      </c>
      <c r="AL31" s="28"/>
      <c r="AM31" s="32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2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s="5" customFormat="1" x14ac:dyDescent="0.4">
      <c r="A34" s="40" t="s">
        <v>11</v>
      </c>
      <c r="B34" s="43"/>
      <c r="C34" s="40" t="s">
        <v>51</v>
      </c>
      <c r="D34" s="40" t="s">
        <v>59</v>
      </c>
      <c r="E34" s="40" t="s">
        <v>54</v>
      </c>
      <c r="F34" s="40" t="s">
        <v>54</v>
      </c>
      <c r="G34" s="40" t="s">
        <v>53</v>
      </c>
      <c r="H34" s="40" t="s">
        <v>53</v>
      </c>
      <c r="I34" s="40" t="s">
        <v>53</v>
      </c>
      <c r="J34" s="40" t="s">
        <v>53</v>
      </c>
      <c r="K34" s="40" t="s">
        <v>54</v>
      </c>
      <c r="L34" s="40" t="s">
        <v>53</v>
      </c>
      <c r="M34" s="40" t="s">
        <v>52</v>
      </c>
      <c r="N34" s="40" t="s">
        <v>54</v>
      </c>
      <c r="O34" s="40" t="s">
        <v>52</v>
      </c>
      <c r="P34" s="40" t="s">
        <v>51</v>
      </c>
      <c r="Q34" s="40" t="s">
        <v>54</v>
      </c>
      <c r="R34" s="40" t="s">
        <v>56</v>
      </c>
      <c r="S34" s="40" t="s">
        <v>56</v>
      </c>
      <c r="T34" s="40" t="s">
        <v>54</v>
      </c>
      <c r="U34" s="2">
        <v>0</v>
      </c>
      <c r="V34" s="40" t="s">
        <v>56</v>
      </c>
      <c r="X34" s="44"/>
      <c r="Y34" s="37"/>
      <c r="Z34" s="44"/>
      <c r="AA34" s="44"/>
      <c r="AB34" s="44"/>
      <c r="AC34" s="44"/>
      <c r="AD34" s="44"/>
      <c r="AE34" s="44"/>
      <c r="AF34" s="2">
        <f>COUNTIF(AF2:AF32,"x")</f>
        <v>19</v>
      </c>
      <c r="AG34" s="2">
        <f>COUNTIF(AG2:AG31,"x")</f>
        <v>21</v>
      </c>
      <c r="AH34" s="2">
        <f>COUNTIF(AH2:AH31,"x")</f>
        <v>4</v>
      </c>
      <c r="AI34" s="2">
        <f>COUNTIF(AI2:AI31,"x")</f>
        <v>1</v>
      </c>
      <c r="AJ34" s="2">
        <f>COUNTIF(AJ2:AJ31,"x")</f>
        <v>25</v>
      </c>
      <c r="AK34" s="2">
        <f>COUNTIF(AL2:AL31,"x")</f>
        <v>0</v>
      </c>
      <c r="AL34" s="38">
        <f>COUNTIF(AL2:AL31,"x")</f>
        <v>0</v>
      </c>
      <c r="AM34" s="39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1">
        <f t="shared" si="9"/>
        <v>4</v>
      </c>
      <c r="N35" s="1">
        <f t="shared" si="9"/>
        <v>3</v>
      </c>
      <c r="O35" s="2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3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16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3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9">
        <f t="shared" si="12"/>
        <v>0</v>
      </c>
      <c r="N37" s="9">
        <f t="shared" si="12"/>
        <v>0</v>
      </c>
      <c r="O37" s="16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70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16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9">
        <f t="shared" si="13"/>
        <v>1</v>
      </c>
      <c r="N39" s="9">
        <f t="shared" si="13"/>
        <v>0</v>
      </c>
      <c r="O39" s="16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16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16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16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1</v>
      </c>
      <c r="N43" s="9">
        <f t="shared" si="13"/>
        <v>2</v>
      </c>
      <c r="O43" s="16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3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0</v>
      </c>
      <c r="N44" s="1">
        <f t="shared" si="16"/>
        <v>0</v>
      </c>
      <c r="O44" s="2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1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2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2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1</v>
      </c>
      <c r="N47" s="1">
        <f t="shared" si="22"/>
        <v>1</v>
      </c>
      <c r="O47" s="2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3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4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4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0.64516129032258063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4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4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4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4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2018-02-26T13:17:04Z</dcterms:modified>
</cp:coreProperties>
</file>