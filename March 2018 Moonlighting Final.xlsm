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C8AD8106-E865-4D85-82E6-53DD117844AA}" xr6:coauthVersionLast="28" xr6:coauthVersionMax="28" xr10:uidLastSave="{00000000-0000-0000-0000-000000000000}"/>
  <workbookProtection workbookAlgorithmName="SHA-512" workbookHashValue="kmjlVPv9ZUMt4n+Zvu2YwanrlORAIqFYNRyt/HhSb5e29dKgNEmDuITSyPThdoAo543ieD8mUJ4/fUYE4QoZmg==" workbookSaltValue="NUi1mWBpRv+5HOcdUH38RA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AI34" i="3"/>
  <c r="AH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<sst xmlns="http://schemas.openxmlformats.org/spreadsheetml/2006/main" count="603" uniqueCount="72">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</sst>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2" borderId="0" xfId="0" applyFont="1" applyFill="1" applyAlignment="1">
      <alignment horizontal="center" wrapText="1"/>
    </xf>
    <xf numFmtId="0" fontId="14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7" sqref="G7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/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NEEDS COVERAGE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>CT</v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>Beidas</v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/>
      </c>
      <c r="M20" s="24" t="str">
        <f>IF(ISBLANK(Master!M20),"",Master!M20)</f>
        <v>SHY</v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Gallagher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>CHP Sr.</v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>Yeh</v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CHP Sr.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>Siow</v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>CHP Jr.</v>
      </c>
      <c r="K30" s="24" t="str">
        <f>IF(ISBLANK(Master!K30),"",Master!K30)</f>
        <v>x</v>
      </c>
      <c r="L30" s="24" t="str">
        <f>IF(ISBLANK(Master!L30),"",Master!L30)</f>
        <v>SHY</v>
      </c>
      <c r="M30" s="24" t="str">
        <f>IF(ISBLANK(Master!M30),"",Master!M30)</f>
        <v/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CT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Dadashzadeh</v>
      </c>
      <c r="Y30" s="23" t="str">
        <f>IF(ISBLANK(Master!Z30),"",Master!Z30)</f>
        <v/>
      </c>
      <c r="Z30" s="23" t="str">
        <f>IF(ISBLANK(Master!AA30),"",Master!AA30)</f>
        <v>Tam</v>
      </c>
      <c r="AA30" s="23" t="str">
        <f>IF(ISBLANK(Master!AB30),"",Master!AB30)</f>
        <v>Beidas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>CT</v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Beidas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5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4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6</v>
      </c>
      <c r="J35" s="24">
        <f>IF(ISBLANK(Master!J35),"",Master!J35)</f>
        <v>6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5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T2" activePane="bottomRight" state="frozen"/>
      <selection pane="topRight" activeCell="C1" sqref="C1"/>
      <selection pane="bottomLeft" activeCell="A2" sqref="A2"/>
      <selection pane="bottomRight" activeCell="S31" sqref="S31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8" width="7.84375" style="3" customWidth="1"/>
    <col min="19" max="19" width="7.84375" style="5" customWidth="1"/>
    <col min="20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4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2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2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2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2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2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2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2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2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2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2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NEEDS COVERAGE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2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2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2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2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2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2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2" t="s">
        <v>39</v>
      </c>
      <c r="T18" s="1" t="s">
        <v>3</v>
      </c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>Beidas</v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 t="s">
        <v>39</v>
      </c>
      <c r="AL18" s="28"/>
      <c r="AM18" s="34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2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2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Gallagher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1"/>
      <c r="AG20" s="1" t="s">
        <v>39</v>
      </c>
      <c r="AH20" s="1" t="s">
        <v>39</v>
      </c>
      <c r="AI20" s="1"/>
      <c r="AJ20" s="1" t="s">
        <v>39</v>
      </c>
      <c r="AL20" s="28"/>
      <c r="AM20" s="35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2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>Yeh</v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 t="s">
        <v>39</v>
      </c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2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2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2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2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2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2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22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2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>Siow</v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 t="s">
        <v>39</v>
      </c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2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2" t="s">
        <v>39</v>
      </c>
      <c r="T30" s="1" t="s">
        <v>3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Dadashzadeh</v>
      </c>
      <c r="Z30" s="1" t="str">
        <f t="shared" si="5"/>
        <v/>
      </c>
      <c r="AA30" s="1" t="str">
        <f t="shared" si="6"/>
        <v>Tam</v>
      </c>
      <c r="AB30" s="1" t="str">
        <f t="shared" si="7"/>
        <v>Beidas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 t="s">
        <v>39</v>
      </c>
      <c r="AJ30" s="1" t="s">
        <v>39</v>
      </c>
      <c r="AL30" s="28"/>
      <c r="AM30" s="35"/>
      <c r="AN30" s="14"/>
    </row>
    <row r="31" spans="1:40" s="5" customFormat="1" x14ac:dyDescent="0.4">
      <c r="A31" s="2" t="s">
        <v>5</v>
      </c>
      <c r="B31" s="16">
        <v>30</v>
      </c>
      <c r="C31" s="2"/>
      <c r="D31" s="2" t="s">
        <v>39</v>
      </c>
      <c r="E31" s="2"/>
      <c r="F31" s="2" t="s">
        <v>39</v>
      </c>
      <c r="G31" s="2"/>
      <c r="H31" s="2" t="s">
        <v>39</v>
      </c>
      <c r="I31" s="2" t="s">
        <v>39</v>
      </c>
      <c r="J31" s="2"/>
      <c r="K31" s="2"/>
      <c r="L31" s="2"/>
      <c r="M31" s="2" t="s">
        <v>39</v>
      </c>
      <c r="N31" s="2"/>
      <c r="O31" s="2" t="s">
        <v>39</v>
      </c>
      <c r="P31" s="2" t="s">
        <v>39</v>
      </c>
      <c r="Q31" s="2" t="s">
        <v>2</v>
      </c>
      <c r="R31" s="2" t="s">
        <v>39</v>
      </c>
      <c r="S31" s="2" t="s">
        <v>39</v>
      </c>
      <c r="T31" s="2" t="s">
        <v>3</v>
      </c>
      <c r="U31" s="2" t="s">
        <v>39</v>
      </c>
      <c r="V31" s="2" t="s">
        <v>39</v>
      </c>
      <c r="W31" s="5" t="s">
        <v>62</v>
      </c>
      <c r="X31" s="2" t="str">
        <f t="shared" si="3"/>
        <v>Nicholson</v>
      </c>
      <c r="Y31" s="2" t="str">
        <f t="shared" si="4"/>
        <v/>
      </c>
      <c r="Z31" s="2" t="str">
        <f t="shared" si="5"/>
        <v/>
      </c>
      <c r="AA31" s="2" t="str">
        <f t="shared" si="6"/>
        <v/>
      </c>
      <c r="AB31" s="2" t="str">
        <f t="shared" si="7"/>
        <v>Beidas</v>
      </c>
      <c r="AC31" s="2" t="str">
        <f t="shared" si="1"/>
        <v/>
      </c>
      <c r="AD31" s="2" t="str">
        <f t="shared" si="2"/>
        <v/>
      </c>
      <c r="AE31" s="2"/>
      <c r="AF31" s="2" t="s">
        <v>39</v>
      </c>
      <c r="AG31" s="2"/>
      <c r="AH31" s="2"/>
      <c r="AI31" s="2"/>
      <c r="AJ31" s="2" t="s">
        <v>39</v>
      </c>
      <c r="AK31" s="2"/>
      <c r="AL31" s="37"/>
      <c r="AM31" s="43"/>
      <c r="AN31" s="38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2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39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6</v>
      </c>
      <c r="AI34" s="1">
        <f>COUNTIF(AI2:AI31,"x")</f>
        <v>2</v>
      </c>
      <c r="AJ34" s="1">
        <f>COUNTIF(AJ2:AJ31,"x")</f>
        <v>26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4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6</v>
      </c>
      <c r="J35" s="1">
        <f t="shared" si="9"/>
        <v>6</v>
      </c>
      <c r="K35" s="1">
        <f t="shared" si="9"/>
        <v>3</v>
      </c>
      <c r="L35" s="1">
        <f t="shared" si="9"/>
        <v>5</v>
      </c>
      <c r="M35" s="1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2">
        <f t="shared" si="9"/>
        <v>0</v>
      </c>
      <c r="T35" s="1">
        <f t="shared" si="9"/>
        <v>5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16">
        <f t="shared" si="10"/>
        <v>0</v>
      </c>
      <c r="T36" s="9">
        <f t="shared" si="10"/>
        <v>5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48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-1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-1</v>
      </c>
      <c r="J37" s="9">
        <f t="shared" si="12"/>
        <v>-1</v>
      </c>
      <c r="K37" s="9">
        <f t="shared" si="12"/>
        <v>0</v>
      </c>
      <c r="L37" s="9">
        <f t="shared" si="12"/>
        <v>0</v>
      </c>
      <c r="M37" s="9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16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74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6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9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16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2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2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16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1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16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16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9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16">
        <f t="shared" si="13"/>
        <v>0</v>
      </c>
      <c r="T43" s="9">
        <f t="shared" si="13"/>
        <v>5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2">
        <f t="shared" si="16"/>
        <v>0</v>
      </c>
      <c r="T44" s="1">
        <f t="shared" si="16"/>
        <v>2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2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2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2">
        <f t="shared" si="22"/>
        <v>0</v>
      </c>
      <c r="T47" s="1">
        <f t="shared" si="22"/>
        <v>4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40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0.32258064516129031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40">
        <f t="shared" si="23"/>
        <v>1</v>
      </c>
      <c r="T49" s="11">
        <f t="shared" si="23"/>
        <v>0.61290322580645162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41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41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41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2018-03-23T20:36:38Z</dcterms:modified>
</cp:coreProperties>
</file>