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vpn2BfehByO3AULtp6L2FdOPNF8hMfUOeYuAsYZeCj+rTAl7oOByKzp+UoyqKTWKpSL0yiwGLL9HXDu+u7NBsA==" workbookSaltValue="1nqMBxG5jZ8bIjoWFPBSsg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<sst xmlns="http://schemas.openxmlformats.org/spreadsheetml/2006/main" count="460" uniqueCount="69">
  <si>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</si>
  <si>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</si>
  <si>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</si>
  <si>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</si>
  <si>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</si>
  <si>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</si>
  <si>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</si>
  <si>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</si>
  <si>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</si>
  <si>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</si>
  <si>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</si>
  <si>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</si>
  <si>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</si>
  <si>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</si>
  <si>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</si>
  <si>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</si>
  <si>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</si>
  <si>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</si>
  <si>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</si>
  <si>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</si>
  <si>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</si>
  <si>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</si>
  <si>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</si>
  <si>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</si>
  <si>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</si>
  <si>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</si>
  <si>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</si>
  <si>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</si>
  <si>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</si>
  <si>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</si>
  <si>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</si>
  <si>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</si>
  <si>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</si>
  <si>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</si>
  <si>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</si>
  <si>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</si>
  <si>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</si>
  <si>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</si>
  <si>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</si>
  <si>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</si>
  <si>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</si>
  <si>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</si>
  <si>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</si>
  <si>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</si>
  <si>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</si>
  <si>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</si>
  <si>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</si>
  <si>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</si>
  <si>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</si>
  <si>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</si>
  <si>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</si>
  <si>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</si>
  <si>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</si>
  <si>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</si>
  <si>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NEAL</t>
  </si>
  <si>
    <t>SCHUCHERT</t>
  </si>
  <si>
    <t>WATSON</t>
  </si>
  <si>
    <t>SPERRY</t>
  </si>
  <si>
    <t>FORSYTHE</t>
  </si>
  <si>
    <t>BAUZA</t>
  </si>
  <si>
    <t>PUYANA</t>
  </si>
  <si>
    <t>ALARCON</t>
  </si>
  <si>
    <t>Non-CT Req</t>
  </si>
  <si>
    <t>All Serv Req</t>
  </si>
  <si>
    <t>Max Res Req</t>
  </si>
  <si>
    <t>jr trauma</t>
  </si>
  <si>
    <t>jr trauma wkend</t>
  </si>
  <si>
    <t>Trauma Jr.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</si>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</sst>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49" fontId="0" fillId="2" borderId="0" xfId="0" applyNumberFormat="1" applyFill="1" applyProtection="1">
      <protection hidden="1"/>
    </xf>
    <xf numFmtId="0" fontId="0" fillId="2" borderId="0" xfId="0" applyFont="1" applyFill="1" applyProtection="1">
      <protection hidden="1"/>
    </xf>
    <xf numFmtId="14" fontId="0" fillId="2" borderId="1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9" sqref="R29:R3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>CT</v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Yecies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NEEDS COVERAGE</v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>CHP Jr.</v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Huckaby</v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CHP Sr.</v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Trauma</v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Huckaby</v>
      </c>
      <c r="W26" s="13" t="str">
        <f>IF(ISBLANK(Master!X26),"",Master!X26)</f>
        <v>Kulkarni</v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CHP Sr.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Hill (Kirk)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6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B57" sqref="B57"/>
    </sheetView>
  </sheetViews>
  <sheetFormatPr defaultColWidth="8.84375" defaultRowHeight="14.6" x14ac:dyDescent="0.4"/>
  <cols>
    <col min="1" max="1" width="13" style="1" bestFit="1" customWidth="1"/>
    <col min="2" max="2" width="10.53515625" style="2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1.3046875" style="3" bestFit="1" customWidth="1"/>
    <col min="23" max="27" width="16.84375" style="10" bestFit="1" customWidth="1"/>
    <col min="28" max="28" width="8.152343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8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17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2"/>
      <c r="AJ2" s="23"/>
      <c r="AK2" s="24"/>
    </row>
    <row r="3" spans="1:37" x14ac:dyDescent="0.4">
      <c r="A3" s="1" t="s">
        <v>7</v>
      </c>
      <c r="B3" s="17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/>
      <c r="AC3" s="1"/>
      <c r="AD3" s="1" t="s">
        <v>40</v>
      </c>
      <c r="AE3" s="1"/>
      <c r="AF3" s="1"/>
      <c r="AG3" s="1" t="s">
        <v>40</v>
      </c>
      <c r="AI3" s="22"/>
      <c r="AJ3" s="25"/>
      <c r="AK3" s="24"/>
    </row>
    <row r="4" spans="1:37" x14ac:dyDescent="0.4">
      <c r="A4" s="1" t="s">
        <v>8</v>
      </c>
      <c r="B4" s="17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1" t="s">
        <v>40</v>
      </c>
      <c r="J4" s="1" t="s">
        <v>40</v>
      </c>
      <c r="K4" s="1" t="s">
        <v>40</v>
      </c>
      <c r="L4" s="1" t="s">
        <v>23</v>
      </c>
      <c r="M4" s="1"/>
      <c r="N4" s="1" t="s">
        <v>40</v>
      </c>
      <c r="O4" s="1"/>
      <c r="P4" s="1" t="s">
        <v>40</v>
      </c>
      <c r="Q4" s="1"/>
      <c r="R4" s="1"/>
      <c r="S4" s="1" t="s">
        <v>3</v>
      </c>
      <c r="T4" s="1" t="s">
        <v>40</v>
      </c>
      <c r="V4" s="3" t="s">
        <v>54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Yecies</v>
      </c>
      <c r="AB4" s="1"/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2"/>
      <c r="AJ4" s="26"/>
      <c r="AK4" s="24"/>
    </row>
    <row r="5" spans="1:37" x14ac:dyDescent="0.4">
      <c r="A5" s="1" t="s">
        <v>9</v>
      </c>
      <c r="B5" s="17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1"/>
      <c r="T5" s="1" t="s">
        <v>40</v>
      </c>
      <c r="V5" s="3" t="s">
        <v>55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/>
      <c r="AC5" s="1" t="s">
        <v>40</v>
      </c>
      <c r="AD5" s="1" t="s">
        <v>40</v>
      </c>
      <c r="AE5" s="1"/>
      <c r="AF5" s="1"/>
      <c r="AG5" s="1" t="s">
        <v>40</v>
      </c>
      <c r="AI5" s="22"/>
      <c r="AJ5" s="26"/>
      <c r="AK5" s="24"/>
    </row>
    <row r="6" spans="1:37" x14ac:dyDescent="0.4">
      <c r="A6" s="1" t="s">
        <v>4</v>
      </c>
      <c r="B6" s="17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U6" s="3" t="s">
        <v>67</v>
      </c>
      <c r="V6" s="3" t="s">
        <v>56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/>
      <c r="AC6" s="1" t="s">
        <v>40</v>
      </c>
      <c r="AD6" s="1" t="s">
        <v>40</v>
      </c>
      <c r="AE6" s="1"/>
      <c r="AF6" s="1"/>
      <c r="AG6" s="1" t="s">
        <v>40</v>
      </c>
      <c r="AI6" s="22"/>
      <c r="AJ6" s="23"/>
      <c r="AK6" s="24"/>
    </row>
    <row r="7" spans="1:37" x14ac:dyDescent="0.4">
      <c r="A7" s="1" t="s">
        <v>10</v>
      </c>
      <c r="B7" s="17">
        <v>6</v>
      </c>
      <c r="C7" s="1"/>
      <c r="D7" s="1"/>
      <c r="E7" s="1"/>
      <c r="F7" s="1"/>
      <c r="G7" s="1"/>
      <c r="H7" s="1"/>
      <c r="I7" s="1" t="s">
        <v>23</v>
      </c>
      <c r="J7" s="1"/>
      <c r="K7" s="1" t="s">
        <v>40</v>
      </c>
      <c r="L7" s="1"/>
      <c r="M7" s="1"/>
      <c r="N7" s="1"/>
      <c r="O7" s="1"/>
      <c r="P7" s="1" t="s">
        <v>3</v>
      </c>
      <c r="Q7" s="1"/>
      <c r="R7" s="1"/>
      <c r="S7" s="1"/>
      <c r="T7" s="1" t="s">
        <v>40</v>
      </c>
      <c r="U7" s="3" t="s">
        <v>67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>NEEDS COVERAGE</v>
      </c>
      <c r="AA7" s="1" t="str">
        <f t="shared" si="4"/>
        <v>Kulkarni</v>
      </c>
      <c r="AB7" s="1"/>
      <c r="AC7" s="1"/>
      <c r="AD7" s="1" t="s">
        <v>40</v>
      </c>
      <c r="AE7" s="1"/>
      <c r="AF7" s="1" t="s">
        <v>40</v>
      </c>
      <c r="AG7" s="1" t="s">
        <v>40</v>
      </c>
      <c r="AI7" s="22"/>
      <c r="AJ7" s="25"/>
      <c r="AK7" s="24"/>
    </row>
    <row r="8" spans="1:37" x14ac:dyDescent="0.4">
      <c r="A8" s="1" t="s">
        <v>5</v>
      </c>
      <c r="B8" s="17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1"/>
      <c r="T8" s="1" t="s">
        <v>40</v>
      </c>
      <c r="V8" s="3" t="s">
        <v>57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2"/>
      <c r="AJ8" s="26"/>
      <c r="AK8" s="24"/>
    </row>
    <row r="9" spans="1:37" x14ac:dyDescent="0.4">
      <c r="A9" s="1" t="s">
        <v>6</v>
      </c>
      <c r="B9" s="17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V9" s="3" t="s">
        <v>58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2"/>
      <c r="AJ9" s="26"/>
      <c r="AK9" s="24"/>
    </row>
    <row r="10" spans="1:37" x14ac:dyDescent="0.4">
      <c r="A10" s="1" t="s">
        <v>7</v>
      </c>
      <c r="B10" s="17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1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/>
      <c r="AC10" s="1"/>
      <c r="AD10" s="1" t="s">
        <v>40</v>
      </c>
      <c r="AE10" s="1" t="s">
        <v>40</v>
      </c>
      <c r="AF10" s="1"/>
      <c r="AG10" s="1" t="s">
        <v>40</v>
      </c>
      <c r="AI10" s="22"/>
      <c r="AJ10" s="26"/>
      <c r="AK10" s="24"/>
    </row>
    <row r="11" spans="1:37" x14ac:dyDescent="0.4">
      <c r="A11" s="1" t="s">
        <v>8</v>
      </c>
      <c r="B11" s="17">
        <v>10</v>
      </c>
      <c r="C11" s="1"/>
      <c r="D11" s="1"/>
      <c r="E11" s="1"/>
      <c r="F11" s="1"/>
      <c r="G11" s="1" t="s">
        <v>40</v>
      </c>
      <c r="H11" s="1" t="s">
        <v>23</v>
      </c>
      <c r="I11" s="1" t="s">
        <v>3</v>
      </c>
      <c r="J11" s="1"/>
      <c r="K11" s="1"/>
      <c r="L11" s="1"/>
      <c r="M11" s="1"/>
      <c r="N11" s="1"/>
      <c r="O11" s="1"/>
      <c r="P11" s="1"/>
      <c r="Q11" s="1"/>
      <c r="R11" s="1" t="s">
        <v>2</v>
      </c>
      <c r="S11" s="1"/>
      <c r="T11" s="1" t="s">
        <v>40</v>
      </c>
      <c r="V11" s="3" t="s">
        <v>59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>NEEDS COVERAGE</v>
      </c>
      <c r="AA11" s="1" t="str">
        <f t="shared" si="4"/>
        <v>Okolo</v>
      </c>
      <c r="AB11" s="1"/>
      <c r="AC11" s="1" t="s">
        <v>40</v>
      </c>
      <c r="AD11" s="1" t="s">
        <v>40</v>
      </c>
      <c r="AE11" s="1"/>
      <c r="AF11" s="1" t="s">
        <v>40</v>
      </c>
      <c r="AG11" s="1" t="s">
        <v>40</v>
      </c>
      <c r="AI11" s="22"/>
      <c r="AJ11" s="25"/>
      <c r="AK11" s="24"/>
    </row>
    <row r="12" spans="1:37" x14ac:dyDescent="0.4">
      <c r="A12" s="1" t="s">
        <v>9</v>
      </c>
      <c r="B12" s="17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1"/>
      <c r="T12" s="1" t="s">
        <v>40</v>
      </c>
      <c r="V12" s="3" t="s">
        <v>57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/>
      <c r="AC12" s="1" t="s">
        <v>40</v>
      </c>
      <c r="AD12" s="1" t="s">
        <v>40</v>
      </c>
      <c r="AE12" s="1"/>
      <c r="AF12" s="1"/>
      <c r="AG12" s="1" t="s">
        <v>40</v>
      </c>
      <c r="AI12" s="22"/>
      <c r="AJ12" s="26"/>
      <c r="AK12" s="24"/>
    </row>
    <row r="13" spans="1:37" x14ac:dyDescent="0.4">
      <c r="A13" s="1" t="s">
        <v>4</v>
      </c>
      <c r="B13" s="17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/>
      <c r="AC13" s="1"/>
      <c r="AD13" s="1" t="s">
        <v>40</v>
      </c>
      <c r="AE13" s="1" t="s">
        <v>40</v>
      </c>
      <c r="AF13" s="1"/>
      <c r="AG13" s="1" t="s">
        <v>40</v>
      </c>
      <c r="AI13" s="22"/>
      <c r="AJ13" s="26"/>
      <c r="AK13" s="24"/>
    </row>
    <row r="14" spans="1:37" x14ac:dyDescent="0.4">
      <c r="A14" s="1" t="s">
        <v>10</v>
      </c>
      <c r="B14" s="17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 t="s">
        <v>21</v>
      </c>
      <c r="L14" s="1" t="s">
        <v>3</v>
      </c>
      <c r="M14" s="1"/>
      <c r="N14" s="1"/>
      <c r="O14" s="1"/>
      <c r="P14" s="1"/>
      <c r="Q14" s="1"/>
      <c r="R14" s="1" t="s">
        <v>23</v>
      </c>
      <c r="S14" s="1"/>
      <c r="T14" s="1" t="s">
        <v>40</v>
      </c>
      <c r="U14" s="3" t="s">
        <v>67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/>
      <c r="AC14" s="1"/>
      <c r="AD14" s="1" t="s">
        <v>40</v>
      </c>
      <c r="AE14" s="1"/>
      <c r="AF14" s="1" t="s">
        <v>40</v>
      </c>
      <c r="AG14" s="1" t="s">
        <v>40</v>
      </c>
      <c r="AI14" s="26"/>
      <c r="AJ14" s="23"/>
      <c r="AK14" s="24"/>
    </row>
    <row r="15" spans="1:37" x14ac:dyDescent="0.4">
      <c r="A15" s="1" t="s">
        <v>5</v>
      </c>
      <c r="B15" s="17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 t="s">
        <v>2</v>
      </c>
      <c r="O15" s="1"/>
      <c r="P15" s="1"/>
      <c r="Q15" s="1"/>
      <c r="R15" s="1"/>
      <c r="S15" s="1"/>
      <c r="T15" s="1" t="s">
        <v>40</v>
      </c>
      <c r="V15" s="3" t="s">
        <v>59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2"/>
      <c r="AJ15" s="26"/>
      <c r="AK15" s="24"/>
    </row>
    <row r="16" spans="1:37" x14ac:dyDescent="0.4">
      <c r="A16" s="1" t="s">
        <v>6</v>
      </c>
      <c r="B16" s="17">
        <v>15</v>
      </c>
      <c r="C16" s="1"/>
      <c r="D16" s="1"/>
      <c r="E16" s="1" t="s">
        <v>40</v>
      </c>
      <c r="F16" s="1" t="s">
        <v>2</v>
      </c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V16" s="3" t="s">
        <v>60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2"/>
      <c r="AJ16" s="25"/>
      <c r="AK16" s="24"/>
    </row>
    <row r="17" spans="1:37" x14ac:dyDescent="0.4">
      <c r="A17" s="1" t="s">
        <v>7</v>
      </c>
      <c r="B17" s="17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1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2"/>
      <c r="AJ17" s="23"/>
      <c r="AK17" s="24"/>
    </row>
    <row r="18" spans="1:37" x14ac:dyDescent="0.4">
      <c r="A18" s="1" t="s">
        <v>8</v>
      </c>
      <c r="B18" s="17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1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1"/>
      <c r="T18" s="1" t="s">
        <v>40</v>
      </c>
      <c r="V18" s="3" t="s">
        <v>58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/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2"/>
      <c r="AJ18" s="26"/>
      <c r="AK18" s="24"/>
    </row>
    <row r="19" spans="1:37" x14ac:dyDescent="0.4">
      <c r="A19" s="1" t="s">
        <v>9</v>
      </c>
      <c r="B19" s="17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1"/>
      <c r="K19" s="1"/>
      <c r="L19" s="1"/>
      <c r="M19" s="1"/>
      <c r="N19" s="1" t="s">
        <v>23</v>
      </c>
      <c r="O19" s="1"/>
      <c r="P19" s="1"/>
      <c r="Q19" s="1"/>
      <c r="R19" s="1"/>
      <c r="S19" s="1" t="s">
        <v>3</v>
      </c>
      <c r="T19" s="1" t="s">
        <v>40</v>
      </c>
      <c r="U19" s="3" t="s">
        <v>67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/>
      <c r="AC19" s="1"/>
      <c r="AD19" s="1" t="s">
        <v>40</v>
      </c>
      <c r="AE19" s="1" t="s">
        <v>40</v>
      </c>
      <c r="AF19" s="1"/>
      <c r="AG19" s="1" t="s">
        <v>40</v>
      </c>
      <c r="AI19" s="22"/>
      <c r="AJ19" s="23"/>
      <c r="AK19" s="24"/>
    </row>
    <row r="20" spans="1:37" x14ac:dyDescent="0.4">
      <c r="A20" s="1" t="s">
        <v>4</v>
      </c>
      <c r="B20" s="17">
        <v>19</v>
      </c>
      <c r="C20" s="1"/>
      <c r="D20" s="1"/>
      <c r="E20" s="1"/>
      <c r="F20" s="1"/>
      <c r="G20" s="1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1"/>
      <c r="O20" s="1" t="s">
        <v>21</v>
      </c>
      <c r="P20" s="1"/>
      <c r="Q20" s="1"/>
      <c r="R20" s="1"/>
      <c r="S20" s="1"/>
      <c r="T20" s="1" t="s">
        <v>40</v>
      </c>
      <c r="V20" s="3" t="s">
        <v>61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>Huckaby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 t="s">
        <v>40</v>
      </c>
      <c r="AG20" s="1" t="s">
        <v>40</v>
      </c>
      <c r="AI20" s="22"/>
      <c r="AJ20" s="23"/>
      <c r="AK20" s="24"/>
    </row>
    <row r="21" spans="1:37" x14ac:dyDescent="0.4">
      <c r="A21" s="1" t="s">
        <v>10</v>
      </c>
      <c r="B21" s="17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1"/>
      <c r="T21" s="1" t="s">
        <v>40</v>
      </c>
      <c r="V21" s="3" t="s">
        <v>59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6"/>
      <c r="AJ21" s="25"/>
      <c r="AK21" s="24"/>
    </row>
    <row r="22" spans="1:37" x14ac:dyDescent="0.4">
      <c r="A22" s="1" t="s">
        <v>5</v>
      </c>
      <c r="B22" s="17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1" t="s">
        <v>22</v>
      </c>
      <c r="J22" s="1" t="s">
        <v>40</v>
      </c>
      <c r="K22" s="1" t="s">
        <v>40</v>
      </c>
      <c r="L22" s="1" t="s">
        <v>40</v>
      </c>
      <c r="M22" s="1"/>
      <c r="N22" s="1"/>
      <c r="O22" s="1"/>
      <c r="P22" s="1" t="s">
        <v>2</v>
      </c>
      <c r="Q22" s="1"/>
      <c r="R22" s="1" t="s">
        <v>40</v>
      </c>
      <c r="S22" s="1"/>
      <c r="T22" s="1" t="s">
        <v>40</v>
      </c>
      <c r="V22" s="3" t="s">
        <v>58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NEEDS COVERAGE</v>
      </c>
      <c r="AB22" s="1"/>
      <c r="AC22" s="1" t="s">
        <v>40</v>
      </c>
      <c r="AD22" s="1"/>
      <c r="AE22" s="1" t="s">
        <v>40</v>
      </c>
      <c r="AF22" s="1"/>
      <c r="AG22" s="1" t="s">
        <v>40</v>
      </c>
      <c r="AI22" s="22"/>
      <c r="AJ22" s="26"/>
      <c r="AK22" s="24"/>
    </row>
    <row r="23" spans="1:37" x14ac:dyDescent="0.4">
      <c r="A23" s="1" t="s">
        <v>6</v>
      </c>
      <c r="B23" s="17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V23" s="3" t="s">
        <v>56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2"/>
      <c r="AJ23" s="23"/>
      <c r="AK23" s="24"/>
    </row>
    <row r="24" spans="1:37" x14ac:dyDescent="0.4">
      <c r="A24" s="1" t="s">
        <v>7</v>
      </c>
      <c r="B24" s="17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1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1"/>
      <c r="T24" s="1" t="s">
        <v>40</v>
      </c>
      <c r="U24" s="3" t="s">
        <v>67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/>
      <c r="AC24" s="1"/>
      <c r="AD24" s="1" t="s">
        <v>40</v>
      </c>
      <c r="AE24" s="1" t="s">
        <v>40</v>
      </c>
      <c r="AF24" s="1"/>
      <c r="AG24" s="1" t="s">
        <v>40</v>
      </c>
      <c r="AI24" s="22"/>
      <c r="AJ24" s="25"/>
      <c r="AK24" s="24"/>
    </row>
    <row r="25" spans="1:37" x14ac:dyDescent="0.4">
      <c r="A25" s="1" t="s">
        <v>8</v>
      </c>
      <c r="B25" s="17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1"/>
      <c r="K25" s="1"/>
      <c r="L25" s="1" t="s">
        <v>2</v>
      </c>
      <c r="M25" s="1" t="s">
        <v>23</v>
      </c>
      <c r="N25" s="1"/>
      <c r="O25" s="1"/>
      <c r="P25" s="1"/>
      <c r="Q25" s="1"/>
      <c r="R25" s="1" t="s">
        <v>40</v>
      </c>
      <c r="S25" s="1"/>
      <c r="T25" s="1" t="s">
        <v>40</v>
      </c>
      <c r="V25" s="3" t="s">
        <v>54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2"/>
      <c r="AJ25" s="26"/>
      <c r="AK25" s="24"/>
    </row>
    <row r="26" spans="1:37" x14ac:dyDescent="0.4">
      <c r="A26" s="1" t="s">
        <v>9</v>
      </c>
      <c r="B26" s="17">
        <v>25</v>
      </c>
      <c r="C26" s="1"/>
      <c r="D26" s="1" t="s">
        <v>40</v>
      </c>
      <c r="E26" s="1"/>
      <c r="F26" s="1"/>
      <c r="G26" s="1"/>
      <c r="H26" s="1"/>
      <c r="I26" s="1"/>
      <c r="J26" s="1" t="s">
        <v>22</v>
      </c>
      <c r="K26" s="1" t="s">
        <v>3</v>
      </c>
      <c r="L26" s="1"/>
      <c r="M26" s="1" t="s">
        <v>40</v>
      </c>
      <c r="N26" s="1"/>
      <c r="O26" s="1" t="s">
        <v>2</v>
      </c>
      <c r="P26" s="1" t="s">
        <v>23</v>
      </c>
      <c r="Q26" s="1" t="s">
        <v>40</v>
      </c>
      <c r="R26" s="1"/>
      <c r="S26" s="1"/>
      <c r="T26" s="1" t="s">
        <v>40</v>
      </c>
      <c r="V26" s="3" t="s">
        <v>59</v>
      </c>
      <c r="W26" s="1" t="str">
        <f t="shared" si="0"/>
        <v>Huckaby</v>
      </c>
      <c r="X26" s="1" t="str">
        <f t="shared" si="1"/>
        <v>Kulkarni</v>
      </c>
      <c r="Y26" s="1" t="str">
        <f t="shared" si="2"/>
        <v>Siow</v>
      </c>
      <c r="Z26" s="1" t="str">
        <f t="shared" si="3"/>
        <v/>
      </c>
      <c r="AA26" s="1" t="str">
        <f t="shared" si="4"/>
        <v>Tam</v>
      </c>
      <c r="AB26" s="1"/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2"/>
      <c r="AJ26" s="25"/>
      <c r="AK26" s="24"/>
    </row>
    <row r="27" spans="1:37" x14ac:dyDescent="0.4">
      <c r="A27" s="1" t="s">
        <v>4</v>
      </c>
      <c r="B27" s="17">
        <v>26</v>
      </c>
      <c r="C27" s="1"/>
      <c r="D27" s="1"/>
      <c r="E27" s="1" t="s">
        <v>2</v>
      </c>
      <c r="F27" s="1"/>
      <c r="G27" s="1"/>
      <c r="H27" s="1" t="s">
        <v>22</v>
      </c>
      <c r="I27" s="1"/>
      <c r="J27" s="1"/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1"/>
      <c r="T27" s="1" t="s">
        <v>40</v>
      </c>
      <c r="V27" s="3" t="s">
        <v>61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Hill (Kirk)</v>
      </c>
      <c r="Z27" s="1" t="str">
        <f t="shared" si="3"/>
        <v/>
      </c>
      <c r="AA27" s="1" t="str">
        <f t="shared" si="4"/>
        <v>Nicholson</v>
      </c>
      <c r="AB27" s="1"/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2"/>
      <c r="AJ27" s="25"/>
      <c r="AK27" s="24"/>
    </row>
    <row r="28" spans="1:37" x14ac:dyDescent="0.4">
      <c r="A28" s="1" t="s">
        <v>10</v>
      </c>
      <c r="B28" s="17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1"/>
      <c r="O28" s="1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2"/>
      <c r="AJ28" s="23"/>
      <c r="AK28" s="24"/>
    </row>
    <row r="29" spans="1:37" x14ac:dyDescent="0.4">
      <c r="A29" s="1" t="s">
        <v>5</v>
      </c>
      <c r="B29" s="17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/>
      <c r="S29" s="1"/>
      <c r="T29" s="1" t="s">
        <v>40</v>
      </c>
      <c r="V29" s="3" t="s">
        <v>56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2"/>
      <c r="AJ29" s="26"/>
      <c r="AK29" s="24"/>
    </row>
    <row r="30" spans="1:37" x14ac:dyDescent="0.4">
      <c r="A30" s="1" t="s">
        <v>6</v>
      </c>
      <c r="B30" s="17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3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/>
      <c r="AC30" s="1"/>
      <c r="AD30" s="1"/>
      <c r="AE30" s="1"/>
      <c r="AF30" s="1"/>
      <c r="AG30" s="1" t="s">
        <v>40</v>
      </c>
      <c r="AI30" s="22"/>
      <c r="AJ30" s="25"/>
      <c r="AK30" s="24"/>
    </row>
    <row r="31" spans="1:37" x14ac:dyDescent="0.4">
      <c r="A31" s="1" t="s">
        <v>7</v>
      </c>
      <c r="B31" s="17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1"/>
      <c r="T31" s="1" t="s">
        <v>40</v>
      </c>
      <c r="U31" s="3" t="s">
        <v>67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2"/>
      <c r="AJ31" s="23"/>
      <c r="AK31" s="24"/>
    </row>
    <row r="32" spans="1:37" x14ac:dyDescent="0.4">
      <c r="A32" s="1" t="s">
        <v>8</v>
      </c>
      <c r="B32" s="17">
        <v>31</v>
      </c>
      <c r="C32" s="1"/>
      <c r="D32" s="1"/>
      <c r="E32" s="1" t="s">
        <v>40</v>
      </c>
      <c r="F32" s="1"/>
      <c r="G32" s="1"/>
      <c r="H32" s="1"/>
      <c r="I32" s="1"/>
      <c r="J32" s="1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/>
      <c r="S32" s="1"/>
      <c r="T32" s="1" t="s">
        <v>40</v>
      </c>
      <c r="V32" s="3" t="s">
        <v>61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2"/>
      <c r="AJ32" s="26"/>
      <c r="AK32" s="24"/>
    </row>
    <row r="33" spans="1:33" x14ac:dyDescent="0.4">
      <c r="B33" s="3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30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68</v>
      </c>
      <c r="S34" s="7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6</v>
      </c>
      <c r="AG34" s="1">
        <f>COUNTIF(AG2:AG31,"x")</f>
        <v>30</v>
      </c>
    </row>
    <row r="35" spans="1:33" s="8" customFormat="1" x14ac:dyDescent="0.4">
      <c r="A35" s="1" t="s">
        <v>12</v>
      </c>
      <c r="B35" s="19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5</v>
      </c>
      <c r="O35" s="1">
        <f t="shared" si="6"/>
        <v>6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1">
        <f t="shared" si="6"/>
        <v>3</v>
      </c>
      <c r="T35" s="1">
        <v>0</v>
      </c>
      <c r="V35" s="3"/>
      <c r="W35" s="21" t="s">
        <v>62</v>
      </c>
      <c r="X35" s="3">
        <f>SUM(AC34:AF34)</f>
        <v>60</v>
      </c>
      <c r="Y35" s="16"/>
      <c r="Z35" s="16"/>
      <c r="AA35" s="16"/>
      <c r="AB35" s="16"/>
    </row>
    <row r="36" spans="1:33" x14ac:dyDescent="0.4">
      <c r="A36" s="1" t="s">
        <v>28</v>
      </c>
      <c r="B36" s="17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9">
        <v>3</v>
      </c>
      <c r="T36" s="9">
        <v>0</v>
      </c>
      <c r="W36" s="10" t="s">
        <v>63</v>
      </c>
      <c r="X36" s="3">
        <f>SUM($AC$34:$AG$34)</f>
        <v>90</v>
      </c>
    </row>
    <row r="37" spans="1:33" x14ac:dyDescent="0.4">
      <c r="A37" s="1" t="s">
        <v>30</v>
      </c>
      <c r="B37" s="17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-1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64</v>
      </c>
      <c r="X37" s="3">
        <f>SUM(D36:T36)</f>
        <v>72</v>
      </c>
    </row>
    <row r="38" spans="1:33" x14ac:dyDescent="0.4">
      <c r="A38" s="1" t="s">
        <v>29</v>
      </c>
      <c r="B38" s="17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</row>
    <row r="39" spans="1:33" x14ac:dyDescent="0.4">
      <c r="A39" s="1" t="s">
        <v>2</v>
      </c>
      <c r="B39" s="17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1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17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17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2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17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17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9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4">
      <c r="A48" s="1" t="s">
        <v>26</v>
      </c>
      <c r="B48" s="2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11"/>
      <c r="T48" s="11">
        <f>SUMPRODUCT(COUNTIFS($A$2:$A$32,{"Fri";"Sat";"Sun"},T$2:T$32,"x"))/$B48</f>
        <v>1</v>
      </c>
    </row>
    <row r="49" spans="1:28" x14ac:dyDescent="0.4">
      <c r="A49" s="3" t="s">
        <v>27</v>
      </c>
      <c r="B49" s="2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11"/>
      <c r="T49" s="11">
        <f t="shared" si="21"/>
        <v>1</v>
      </c>
    </row>
    <row r="50" spans="1:28" x14ac:dyDescent="0.4">
      <c r="A50" s="3"/>
      <c r="B50" s="20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8" x14ac:dyDescent="0.4">
      <c r="A51" s="12"/>
      <c r="B51" s="20"/>
      <c r="C51" s="3" t="s">
        <v>48</v>
      </c>
      <c r="D51" s="12"/>
      <c r="E51" s="12"/>
      <c r="F51" s="12"/>
      <c r="G51" s="12"/>
      <c r="H51" s="12"/>
      <c r="I51" s="12"/>
      <c r="J51" s="12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12"/>
      <c r="T51" s="12" t="s">
        <v>52</v>
      </c>
    </row>
    <row r="52" spans="1:28" x14ac:dyDescent="0.4">
      <c r="A52" s="12"/>
      <c r="B52" s="20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65</v>
      </c>
      <c r="N52" s="12" t="s">
        <v>65</v>
      </c>
      <c r="O52" s="12" t="s">
        <v>65</v>
      </c>
      <c r="P52" s="12"/>
      <c r="Q52" s="12" t="s">
        <v>66</v>
      </c>
      <c r="R52" s="12" t="s">
        <v>65</v>
      </c>
      <c r="S52" s="12"/>
      <c r="T52" s="12"/>
    </row>
    <row r="53" spans="1:28" x14ac:dyDescent="0.4">
      <c r="A53" s="12"/>
      <c r="B53" s="20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8" x14ac:dyDescent="0.4">
      <c r="C54" s="12" t="s">
        <v>41</v>
      </c>
      <c r="J54" s="3" t="s">
        <v>53</v>
      </c>
    </row>
    <row r="55" spans="1:28" x14ac:dyDescent="0.4">
      <c r="C55" s="3" t="s">
        <v>50</v>
      </c>
    </row>
    <row r="57" spans="1:28" s="5" customFormat="1" x14ac:dyDescent="0.4">
      <c r="A57" s="2"/>
      <c r="B57" s="2"/>
      <c r="C57" s="27"/>
      <c r="W57" s="28"/>
      <c r="X57" s="28"/>
      <c r="Y57" s="28"/>
      <c r="Z57" s="28"/>
      <c r="AA57" s="28"/>
      <c r="AB57" s="2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2017-06-28T16:40:20Z</dcterms:modified>
</cp:coreProperties>
</file>