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5SFw2mRAWO9Ma5SsVMgvKhVMWJWhBOrORXx134YJ6Lbd68uGfNrRddsQgGYJ2eY4ZgbKKfOrCMMpHV4KzvQszg==" workbookSaltValue="/wRC3IM0CMm2XezknyXjkw==" workbookSpinCount="100000" lockStructure="1"/>
  <bookViews>
    <workbookView xWindow="0" yWindow="0" windowWidth="15615" windowHeight="3630"/>
  </bookViews>
  <sheets>
    <sheet name="July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D1" i="5" l="1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D35" i="5"/>
  <c r="E35" i="5"/>
  <c r="F35" i="5"/>
  <c r="I35" i="5"/>
  <c r="J35" i="5"/>
  <c r="L35" i="5"/>
  <c r="M35" i="5"/>
  <c r="O35" i="5"/>
  <c r="Q35" i="5"/>
  <c r="S35" i="5"/>
  <c r="T35" i="5"/>
  <c r="L35" i="3"/>
  <c r="M35" i="3"/>
  <c r="N35" i="3"/>
  <c r="N35" i="5" s="1"/>
  <c r="O35" i="3"/>
  <c r="P35" i="3"/>
  <c r="P35" i="5" s="1"/>
  <c r="Q35" i="3"/>
  <c r="R35" i="3"/>
  <c r="R35" i="5" s="1"/>
  <c r="L36" i="3"/>
  <c r="L37" i="3" s="1"/>
  <c r="M36" i="3"/>
  <c r="M37" i="3" s="1"/>
  <c r="N36" i="3"/>
  <c r="O36" i="3"/>
  <c r="P36" i="3"/>
  <c r="Q36" i="3"/>
  <c r="Q37" i="3" s="1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N47" i="3" l="1"/>
  <c r="P37" i="3"/>
  <c r="R47" i="3"/>
  <c r="O37" i="3"/>
  <c r="R37" i="3"/>
  <c r="N37" i="3"/>
  <c r="Q47" i="3"/>
  <c r="M47" i="3"/>
  <c r="P47" i="3"/>
  <c r="L47" i="3"/>
  <c r="O47" i="3"/>
  <c r="X12" i="3" l="1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 l="1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S36" i="3"/>
  <c r="T36" i="3"/>
  <c r="C36" i="3"/>
  <c r="AG34" i="3"/>
  <c r="AF34" i="3"/>
  <c r="AE34" i="3"/>
  <c r="AD34" i="3"/>
  <c r="AC34" i="3"/>
  <c r="U35" i="3" l="1"/>
  <c r="U38" i="3"/>
  <c r="U36" i="3"/>
  <c r="B49" i="3"/>
  <c r="B48" i="3"/>
  <c r="L49" i="3" l="1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T49" i="3"/>
  <c r="K48" i="3"/>
  <c r="G48" i="3"/>
  <c r="J48" i="3"/>
  <c r="H49" i="3"/>
  <c r="T48" i="3"/>
  <c r="I48" i="3"/>
  <c r="E48" i="3"/>
  <c r="I49" i="3"/>
  <c r="E49" i="3"/>
  <c r="S49" i="3"/>
  <c r="D49" i="3"/>
  <c r="C49" i="3"/>
  <c r="F48" i="3"/>
  <c r="K49" i="3"/>
  <c r="G49" i="3"/>
  <c r="J49" i="3"/>
  <c r="F49" i="3"/>
  <c r="S48" i="3"/>
  <c r="H48" i="3"/>
  <c r="D48" i="3"/>
  <c r="C48" i="3"/>
  <c r="C39" i="3"/>
  <c r="D39" i="3"/>
  <c r="E39" i="3"/>
  <c r="F39" i="3"/>
  <c r="G39" i="3"/>
  <c r="H39" i="3"/>
  <c r="I39" i="3"/>
  <c r="J39" i="3"/>
  <c r="K39" i="3"/>
  <c r="S39" i="3"/>
  <c r="T39" i="3"/>
  <c r="C40" i="3"/>
  <c r="D40" i="3"/>
  <c r="E40" i="3"/>
  <c r="F40" i="3"/>
  <c r="G40" i="3"/>
  <c r="H40" i="3"/>
  <c r="I40" i="3"/>
  <c r="J40" i="3"/>
  <c r="K40" i="3"/>
  <c r="S40" i="3"/>
  <c r="T40" i="3"/>
  <c r="C41" i="3"/>
  <c r="D41" i="3"/>
  <c r="E41" i="3"/>
  <c r="F41" i="3"/>
  <c r="G41" i="3"/>
  <c r="H41" i="3"/>
  <c r="I41" i="3"/>
  <c r="J41" i="3"/>
  <c r="K41" i="3"/>
  <c r="S41" i="3"/>
  <c r="T41" i="3"/>
  <c r="C42" i="3"/>
  <c r="D42" i="3"/>
  <c r="E42" i="3"/>
  <c r="F42" i="3"/>
  <c r="G42" i="3"/>
  <c r="H42" i="3"/>
  <c r="I42" i="3"/>
  <c r="J42" i="3"/>
  <c r="K42" i="3"/>
  <c r="S42" i="3"/>
  <c r="T42" i="3"/>
  <c r="C43" i="3"/>
  <c r="D43" i="3"/>
  <c r="E43" i="3"/>
  <c r="F43" i="3"/>
  <c r="G43" i="3"/>
  <c r="H43" i="3"/>
  <c r="I43" i="3"/>
  <c r="J43" i="3"/>
  <c r="K43" i="3"/>
  <c r="S43" i="3"/>
  <c r="T43" i="3"/>
  <c r="C44" i="3"/>
  <c r="D44" i="3"/>
  <c r="E44" i="3"/>
  <c r="F44" i="3"/>
  <c r="G44" i="3"/>
  <c r="H44" i="3"/>
  <c r="I44" i="3"/>
  <c r="J44" i="3"/>
  <c r="K44" i="3"/>
  <c r="S44" i="3"/>
  <c r="T44" i="3"/>
  <c r="C45" i="3"/>
  <c r="D45" i="3"/>
  <c r="E45" i="3"/>
  <c r="F45" i="3"/>
  <c r="G45" i="3"/>
  <c r="H45" i="3"/>
  <c r="I45" i="3"/>
  <c r="J45" i="3"/>
  <c r="K45" i="3"/>
  <c r="S45" i="3"/>
  <c r="T45" i="3"/>
  <c r="C46" i="3"/>
  <c r="D46" i="3"/>
  <c r="E46" i="3"/>
  <c r="F46" i="3"/>
  <c r="G46" i="3"/>
  <c r="H46" i="3"/>
  <c r="I46" i="3"/>
  <c r="J46" i="3"/>
  <c r="K46" i="3"/>
  <c r="S46" i="3"/>
  <c r="T46" i="3"/>
  <c r="K47" i="3" l="1"/>
  <c r="G47" i="3"/>
  <c r="S47" i="3"/>
  <c r="F47" i="3"/>
  <c r="T47" i="3"/>
  <c r="I47" i="3"/>
  <c r="H47" i="3"/>
  <c r="D47" i="3"/>
  <c r="C47" i="3"/>
  <c r="J47" i="3"/>
  <c r="E47" i="3"/>
  <c r="C35" i="3"/>
  <c r="D35" i="3"/>
  <c r="E35" i="3"/>
  <c r="F35" i="3"/>
  <c r="G35" i="3"/>
  <c r="G35" i="5" s="1"/>
  <c r="H35" i="3"/>
  <c r="H35" i="5" s="1"/>
  <c r="I35" i="3"/>
  <c r="J35" i="3"/>
  <c r="K35" i="3"/>
  <c r="K35" i="5" s="1"/>
  <c r="S35" i="3"/>
  <c r="T35" i="3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 s="1"/>
  <c r="Y32" i="3"/>
  <c r="X32" i="5" s="1"/>
  <c r="Z32" i="3"/>
  <c r="Y32" i="5" s="1"/>
  <c r="AA32" i="3"/>
  <c r="Z32" i="5" s="1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 s="1"/>
  <c r="V2" i="5"/>
  <c r="S37" i="3" l="1"/>
  <c r="K37" i="3"/>
  <c r="E37" i="3"/>
  <c r="G37" i="3"/>
  <c r="I37" i="3"/>
  <c r="T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<sst xmlns="http://schemas.openxmlformats.org/spreadsheetml/2006/main" count="121" uniqueCount="46">
  <si>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</si>
  <si>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</si>
  <si>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</si>
  <si>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</si>
  <si>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</si>
  <si>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</si>
  <si>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</si>
  <si>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</si>
  <si>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</si>
  <si>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</si>
  <si>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</si>
  <si>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</si>
  <si>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</si>
  <si>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</si>
  <si>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</si>
  <si>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</si>
  <si>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</si>
  <si>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</si>
  <si>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</si>
  <si>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</si>
  <si>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</si>
  <si>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</si>
  <si>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</si>
  <si>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</si>
  <si>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</si>
  <si>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</si>
  <si>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</si>
  <si>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</si>
  <si>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</si>
  <si>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</si>
  <si>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</si>
  <si>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</si>
  <si>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</si>
  <si>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</si>
  <si>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</si>
  <si>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</si>
  <si>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</si>
  <si>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</si>
  <si>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</si>
  <si>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Ergo</t>
  </si>
  <si>
    <t>5</t>
  </si>
  <si>
    <t>x</t>
  </si>
  <si>
    <t>Everyone had a trauma</t>
  </si>
  <si>
    <t>4</t>
  </si>
  <si>
    <t>?5</t>
  </si>
  <si>
    <t>long 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</si>
</sst>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5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6" fillId="0" borderId="0" xfId="0" applyFont="1" applyFill="1" applyAlignment="1">
      <alignment horizontal="center"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7" sqref="E27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10.42578125" style="13" customWidth="1"/>
    <col min="4" max="4" width="13" style="13" bestFit="1" customWidth="1"/>
    <col min="5" max="12" width="10.42578125" style="13" customWidth="1"/>
    <col min="13" max="13" width="11.7109375" style="13" bestFit="1" customWidth="1"/>
    <col min="14" max="20" width="10.42578125" style="13" customWidth="1"/>
    <col min="21" max="21" width="8.5703125" style="13" customWidth="1"/>
    <col min="22" max="23" width="14.5703125" style="13" bestFit="1" customWidth="1"/>
    <col min="24" max="24" width="7.28515625" style="13" bestFit="1" customWidth="1"/>
    <col min="25" max="25" width="12.140625" style="13" bestFit="1" customWidth="1"/>
    <col min="26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Ergo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/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/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/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/>
      </c>
    </row>
    <row r="3" spans="1:26" x14ac:dyDescent="0.25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/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/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/>
      </c>
    </row>
    <row r="4" spans="1:26" x14ac:dyDescent="0.25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/>
      </c>
      <c r="J4" s="13" t="str">
        <f>IF(ISBLANK(Master!J4),"",Master!J4)</f>
        <v/>
      </c>
      <c r="K4" s="13" t="str">
        <f>IF(ISBLANK(Master!K4),"",Master!K4)</f>
        <v>x</v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/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/>
      </c>
    </row>
    <row r="5" spans="1:26" x14ac:dyDescent="0.25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/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/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/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/>
      </c>
    </row>
    <row r="6" spans="1:26" x14ac:dyDescent="0.25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/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/>
      </c>
    </row>
    <row r="7" spans="1:26" x14ac:dyDescent="0.25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/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/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/>
      </c>
    </row>
    <row r="8" spans="1:26" x14ac:dyDescent="0.25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/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/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/>
      </c>
    </row>
    <row r="9" spans="1:26" x14ac:dyDescent="0.25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/>
      </c>
      <c r="G9" s="13" t="str">
        <f>IF(ISBLANK(Master!G9),"",Master!G9)</f>
        <v/>
      </c>
      <c r="H9" s="13" t="str">
        <f>IF(ISBLANK(Master!H9),"",Master!H9)</f>
        <v/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/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/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/>
      </c>
    </row>
    <row r="10" spans="1:26" x14ac:dyDescent="0.25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/>
      </c>
      <c r="G10" s="13" t="str">
        <f>IF(ISBLANK(Master!G10),"",Master!G10)</f>
        <v/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/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/>
      </c>
    </row>
    <row r="11" spans="1:26" x14ac:dyDescent="0.25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/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/>
      </c>
    </row>
    <row r="12" spans="1:26" x14ac:dyDescent="0.25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/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/>
      </c>
    </row>
    <row r="13" spans="1:26" x14ac:dyDescent="0.25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/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/>
      </c>
    </row>
    <row r="14" spans="1:26" x14ac:dyDescent="0.25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/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/>
      </c>
    </row>
    <row r="15" spans="1:26" x14ac:dyDescent="0.25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/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/>
      </c>
    </row>
    <row r="16" spans="1:26" x14ac:dyDescent="0.25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/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/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/>
      </c>
    </row>
    <row r="17" spans="1:26" x14ac:dyDescent="0.25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/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/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/>
      </c>
    </row>
    <row r="18" spans="1:26" x14ac:dyDescent="0.25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/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/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/>
      </c>
    </row>
    <row r="19" spans="1:26" x14ac:dyDescent="0.25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/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/>
      </c>
    </row>
    <row r="20" spans="1:26" x14ac:dyDescent="0.25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/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/>
      </c>
    </row>
    <row r="21" spans="1:26" x14ac:dyDescent="0.25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/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/>
      </c>
    </row>
    <row r="22" spans="1:26" x14ac:dyDescent="0.25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/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/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/>
      </c>
      <c r="T22" s="13" t="str">
        <f>IF(ISBLANK(Master!T22),"",Master!T22)</f>
        <v/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/>
      </c>
    </row>
    <row r="23" spans="1:26" x14ac:dyDescent="0.25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/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/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/>
      </c>
    </row>
    <row r="24" spans="1:26" x14ac:dyDescent="0.25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/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/>
      </c>
    </row>
    <row r="25" spans="1:26" x14ac:dyDescent="0.25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/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/>
      </c>
    </row>
    <row r="26" spans="1:26" x14ac:dyDescent="0.25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/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/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/>
      </c>
    </row>
    <row r="27" spans="1:26" x14ac:dyDescent="0.25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/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/>
      </c>
    </row>
    <row r="28" spans="1:26" x14ac:dyDescent="0.25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/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/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/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/>
      </c>
    </row>
    <row r="29" spans="1:26" x14ac:dyDescent="0.25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x</v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/>
      </c>
      <c r="Q29" s="13" t="str">
        <f>IF(ISBLANK(Master!Q29),"",Master!Q29)</f>
        <v/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/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/>
      </c>
    </row>
    <row r="30" spans="1:26" x14ac:dyDescent="0.25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>x</v>
      </c>
      <c r="S30" s="13" t="str">
        <f>IF(ISBLANK(Master!S30),"",Master!S30)</f>
        <v/>
      </c>
      <c r="T30" s="13" t="str">
        <f>IF(ISBLANK(Master!T30),"",Master!T30)</f>
        <v/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/>
      </c>
    </row>
    <row r="31" spans="1:26" x14ac:dyDescent="0.25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/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/>
      </c>
    </row>
    <row r="32" spans="1:26" x14ac:dyDescent="0.25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>x</v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/>
      </c>
      <c r="D34" s="13" t="str">
        <f>IF(ISBLANK(Master!D34),"",Master!D34)</f>
        <v/>
      </c>
      <c r="E34" s="13" t="str">
        <f>IF(ISBLANK(Master!E34),"",Master!E34)</f>
        <v/>
      </c>
      <c r="F34" s="13" t="str">
        <f>IF(ISBLANK(Master!F34),"",Master!F34)</f>
        <v/>
      </c>
      <c r="G34" s="13" t="str">
        <f>IF(ISBLANK(Master!G34),"",Master!G34)</f>
        <v/>
      </c>
      <c r="H34" s="13" t="str">
        <f>IF(ISBLANK(Master!H34),"",Master!H34)</f>
        <v/>
      </c>
      <c r="I34" s="13" t="str">
        <f>IF(ISBLANK(Master!I34),"",Master!I34)</f>
        <v/>
      </c>
      <c r="J34" s="13" t="str">
        <f>IF(ISBLANK(Master!J34),"",Master!J34)</f>
        <v/>
      </c>
      <c r="K34" s="13" t="str">
        <f>IF(ISBLANK(Master!K34),"",Master!K34)</f>
        <v>5</v>
      </c>
      <c r="L34" s="13" t="str">
        <f>IF(ISBLANK(Master!L34),"",Master!L34)</f>
        <v/>
      </c>
      <c r="M34" s="13" t="str">
        <f>IF(ISBLANK(Master!M34),"",Master!M34)</f>
        <v/>
      </c>
      <c r="N34" s="13" t="str">
        <f>IF(ISBLANK(Master!N34),"",Master!N34)</f>
        <v>?5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5</v>
      </c>
      <c r="S34" s="13" t="str">
        <f>IF(ISBLANK(Master!S34),"",Master!S34)</f>
        <v/>
      </c>
      <c r="T34" s="13" t="str">
        <f>IF(ISBLANK(Master!T34),"",Master!T34)</f>
        <v/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iBbk3/QTIxx9jbOG6AwxVLXZ6Wi7wKJWJ/2kbj5xbFWecpfYLuZg2FDFonqz6q1ix2/49jAatxpss7M9A/O9RA==" saltValue="DcX2o/Sk3wVTQePAtzX8fg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O21" sqref="O21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23.140625" style="3" bestFit="1" customWidth="1"/>
    <col min="4" max="4" width="14.5703125" style="3" bestFit="1" customWidth="1"/>
    <col min="5" max="5" width="10" style="3" bestFit="1" customWidth="1"/>
    <col min="6" max="6" width="12.5703125" style="3" customWidth="1"/>
    <col min="7" max="10" width="10" style="3" bestFit="1" customWidth="1"/>
    <col min="11" max="11" width="8.7109375" style="3" bestFit="1" customWidth="1"/>
    <col min="12" max="12" width="10" style="3" bestFit="1" customWidth="1"/>
    <col min="13" max="13" width="14.5703125" style="3" bestFit="1" customWidth="1"/>
    <col min="14" max="14" width="10.5703125" style="3" bestFit="1" customWidth="1"/>
    <col min="15" max="15" width="9.7109375" style="5" bestFit="1" customWidth="1"/>
    <col min="16" max="16" width="8" style="3" bestFit="1" customWidth="1"/>
    <col min="17" max="17" width="10" style="3" bestFit="1" customWidth="1"/>
    <col min="18" max="18" width="10.7109375" style="3" bestFit="1" customWidth="1"/>
    <col min="19" max="19" width="10.140625" style="3" bestFit="1" customWidth="1"/>
    <col min="20" max="21" width="10" style="3" bestFit="1" customWidth="1"/>
    <col min="22" max="22" width="16.85546875" style="3" bestFit="1" customWidth="1"/>
    <col min="23" max="27" width="20.140625" style="10" bestFit="1" customWidth="1"/>
    <col min="28" max="28" width="15.85546875" style="10" customWidth="1"/>
    <col min="29" max="33" width="7.85546875" style="3" customWidth="1"/>
    <col min="34" max="16384" width="8.85546875" style="3"/>
  </cols>
  <sheetData>
    <row r="1" spans="1:33" x14ac:dyDescent="0.25">
      <c r="A1" s="14" t="s">
        <v>0</v>
      </c>
      <c r="B1" s="1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2" t="s">
        <v>34</v>
      </c>
      <c r="P1" s="1" t="s">
        <v>35</v>
      </c>
      <c r="Q1" s="1" t="s">
        <v>36</v>
      </c>
      <c r="R1" s="1" t="s">
        <v>37</v>
      </c>
      <c r="S1" s="24" t="s">
        <v>38</v>
      </c>
      <c r="T1" s="1" t="s">
        <v>39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3" x14ac:dyDescent="0.25">
      <c r="A2" s="1" t="s">
        <v>6</v>
      </c>
      <c r="B2" s="9">
        <v>1</v>
      </c>
      <c r="C2" s="1"/>
      <c r="D2" s="1"/>
      <c r="E2" s="1"/>
      <c r="F2" s="1"/>
      <c r="G2" s="1">
        <v>0</v>
      </c>
      <c r="H2" s="1">
        <v>1</v>
      </c>
      <c r="I2" s="1"/>
      <c r="J2" s="1"/>
      <c r="K2" s="1" t="s">
        <v>41</v>
      </c>
      <c r="L2" s="1"/>
      <c r="M2" s="1"/>
      <c r="N2" s="1" t="s">
        <v>41</v>
      </c>
      <c r="O2" s="2"/>
      <c r="P2" s="1" t="s">
        <v>41</v>
      </c>
      <c r="Q2" s="1"/>
      <c r="R2" s="1"/>
      <c r="S2" s="1"/>
      <c r="T2" s="1"/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/>
      </c>
      <c r="AB2" s="1"/>
      <c r="AC2" s="1"/>
      <c r="AD2" s="1"/>
      <c r="AE2" s="1"/>
      <c r="AF2" s="1"/>
      <c r="AG2" s="1"/>
    </row>
    <row r="3" spans="1:33" x14ac:dyDescent="0.25">
      <c r="A3" s="1" t="s">
        <v>7</v>
      </c>
      <c r="B3" s="9">
        <v>2</v>
      </c>
      <c r="C3" s="1"/>
      <c r="D3" s="1"/>
      <c r="E3" s="1"/>
      <c r="F3" s="1"/>
      <c r="G3" s="1"/>
      <c r="H3" s="1"/>
      <c r="I3" s="1"/>
      <c r="J3" s="1"/>
      <c r="K3" s="1" t="s">
        <v>41</v>
      </c>
      <c r="L3" s="1"/>
      <c r="M3" s="1"/>
      <c r="N3" s="1" t="s">
        <v>41</v>
      </c>
      <c r="O3" s="2"/>
      <c r="P3" s="1" t="s">
        <v>41</v>
      </c>
      <c r="Q3" s="1"/>
      <c r="R3" s="1"/>
      <c r="S3" s="1"/>
      <c r="T3" s="1"/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/>
      </c>
      <c r="AB3" s="1"/>
      <c r="AC3" s="1"/>
      <c r="AD3" s="1"/>
      <c r="AE3" s="1"/>
      <c r="AF3" s="1"/>
      <c r="AG3" s="1"/>
    </row>
    <row r="4" spans="1:33" x14ac:dyDescent="0.25">
      <c r="A4" s="1" t="s">
        <v>8</v>
      </c>
      <c r="B4" s="9">
        <v>3</v>
      </c>
      <c r="C4" s="1"/>
      <c r="D4" s="1"/>
      <c r="E4" s="1"/>
      <c r="F4" s="1"/>
      <c r="G4" s="1"/>
      <c r="H4" s="1"/>
      <c r="I4" s="1"/>
      <c r="J4" s="1"/>
      <c r="K4" s="1" t="s">
        <v>41</v>
      </c>
      <c r="L4" s="1"/>
      <c r="M4" s="1"/>
      <c r="N4" s="1" t="s">
        <v>41</v>
      </c>
      <c r="O4" s="2"/>
      <c r="P4" s="1" t="s">
        <v>41</v>
      </c>
      <c r="Q4" s="1"/>
      <c r="R4" s="1"/>
      <c r="S4" s="1"/>
      <c r="T4" s="1"/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/>
      <c r="AC4" s="1"/>
      <c r="AD4" s="1"/>
      <c r="AE4" s="1"/>
      <c r="AF4" s="1"/>
      <c r="AG4" s="1"/>
    </row>
    <row r="5" spans="1:33" x14ac:dyDescent="0.25">
      <c r="A5" s="1" t="s">
        <v>9</v>
      </c>
      <c r="B5" s="9">
        <v>4</v>
      </c>
      <c r="C5" s="1"/>
      <c r="D5" s="1"/>
      <c r="E5" s="1"/>
      <c r="F5" s="1"/>
      <c r="G5" s="1"/>
      <c r="H5" s="1"/>
      <c r="I5" s="1"/>
      <c r="J5" s="1"/>
      <c r="K5" s="1" t="s">
        <v>41</v>
      </c>
      <c r="L5" s="1"/>
      <c r="M5" s="1"/>
      <c r="N5" s="1"/>
      <c r="O5" s="2"/>
      <c r="P5" s="1" t="s">
        <v>41</v>
      </c>
      <c r="Q5" s="1"/>
      <c r="R5" s="1"/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/>
      </c>
      <c r="AB5" s="1"/>
      <c r="AC5" s="1"/>
      <c r="AD5" s="1"/>
      <c r="AE5" s="1"/>
      <c r="AF5" s="1"/>
      <c r="AG5" s="1"/>
    </row>
    <row r="6" spans="1:33" x14ac:dyDescent="0.25">
      <c r="A6" s="1" t="s">
        <v>4</v>
      </c>
      <c r="B6" s="9">
        <v>5</v>
      </c>
      <c r="C6" s="1"/>
      <c r="D6" s="1"/>
      <c r="E6" s="1"/>
      <c r="F6" s="1"/>
      <c r="G6" s="1"/>
      <c r="H6" s="1"/>
      <c r="I6" s="1"/>
      <c r="J6" s="1"/>
      <c r="K6" s="1" t="s">
        <v>41</v>
      </c>
      <c r="L6" s="1"/>
      <c r="M6" s="1"/>
      <c r="N6" s="1"/>
      <c r="O6" s="2"/>
      <c r="P6" s="1"/>
      <c r="Q6" s="1"/>
      <c r="R6" s="1"/>
      <c r="S6" s="1"/>
      <c r="T6" s="1"/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/>
      </c>
      <c r="AB6" s="1"/>
      <c r="AC6" s="1"/>
      <c r="AD6" s="1"/>
      <c r="AE6" s="1"/>
      <c r="AF6" s="1"/>
      <c r="AG6" s="1"/>
    </row>
    <row r="7" spans="1:33" x14ac:dyDescent="0.25">
      <c r="A7" s="1" t="s">
        <v>10</v>
      </c>
      <c r="B7" s="9">
        <v>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2"/>
      <c r="P7" s="1"/>
      <c r="Q7" s="1"/>
      <c r="R7" s="1"/>
      <c r="S7" s="1"/>
      <c r="T7" s="1"/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/>
      </c>
      <c r="AB7" s="1"/>
      <c r="AC7" s="1"/>
      <c r="AD7" s="1"/>
      <c r="AE7" s="1"/>
      <c r="AF7" s="1"/>
      <c r="AG7" s="1"/>
    </row>
    <row r="8" spans="1:33" x14ac:dyDescent="0.25">
      <c r="A8" s="1" t="s">
        <v>5</v>
      </c>
      <c r="B8" s="9">
        <v>7</v>
      </c>
      <c r="C8" s="1"/>
      <c r="D8" s="1"/>
      <c r="E8" s="1"/>
      <c r="F8" s="1"/>
      <c r="G8" s="1"/>
      <c r="H8" s="1"/>
      <c r="I8" s="1"/>
      <c r="J8" s="1"/>
      <c r="K8" s="1" t="s">
        <v>41</v>
      </c>
      <c r="L8" s="1"/>
      <c r="M8" s="1"/>
      <c r="N8" s="1"/>
      <c r="O8" s="2"/>
      <c r="P8" s="1"/>
      <c r="Q8" s="1"/>
      <c r="R8" s="1"/>
      <c r="S8" s="1"/>
      <c r="T8" s="1"/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/>
      </c>
      <c r="AB8" s="1"/>
      <c r="AC8" s="1"/>
      <c r="AD8" s="1"/>
      <c r="AE8" s="1"/>
      <c r="AF8" s="1"/>
      <c r="AG8" s="1"/>
    </row>
    <row r="9" spans="1:33" x14ac:dyDescent="0.25">
      <c r="A9" s="1" t="s">
        <v>6</v>
      </c>
      <c r="B9" s="9">
        <v>8</v>
      </c>
      <c r="C9" s="1"/>
      <c r="D9" s="1"/>
      <c r="E9" s="1"/>
      <c r="F9" s="1"/>
      <c r="G9" s="1"/>
      <c r="H9" s="1"/>
      <c r="I9" s="1"/>
      <c r="J9" s="1"/>
      <c r="K9" s="1" t="s">
        <v>41</v>
      </c>
      <c r="L9" s="1"/>
      <c r="M9" s="1"/>
      <c r="N9" s="1"/>
      <c r="O9" s="2"/>
      <c r="P9" s="1"/>
      <c r="Q9" s="1"/>
      <c r="R9" s="1"/>
      <c r="S9" s="1"/>
      <c r="T9" s="1"/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/>
      </c>
      <c r="AB9" s="1"/>
      <c r="AC9" s="1"/>
      <c r="AD9" s="1"/>
      <c r="AE9" s="1"/>
      <c r="AF9" s="1"/>
      <c r="AG9" s="1"/>
    </row>
    <row r="10" spans="1:33" x14ac:dyDescent="0.25">
      <c r="A10" s="1" t="s">
        <v>7</v>
      </c>
      <c r="B10" s="9">
        <v>9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2"/>
      <c r="P10" s="1"/>
      <c r="Q10" s="1"/>
      <c r="R10" s="1"/>
      <c r="S10" s="1"/>
      <c r="T10" s="1"/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/>
      </c>
      <c r="AB10" s="1"/>
      <c r="AC10" s="1"/>
      <c r="AD10" s="1"/>
      <c r="AE10" s="1"/>
      <c r="AF10" s="1"/>
      <c r="AG10" s="1"/>
    </row>
    <row r="11" spans="1:33" x14ac:dyDescent="0.25">
      <c r="A11" s="1" t="s">
        <v>8</v>
      </c>
      <c r="B11" s="9">
        <v>10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2"/>
      <c r="P11" s="1"/>
      <c r="Q11" s="1"/>
      <c r="R11" s="1"/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/>
      <c r="AC11" s="1"/>
      <c r="AD11" s="1"/>
      <c r="AE11" s="1"/>
      <c r="AF11" s="1"/>
      <c r="AG11" s="1"/>
    </row>
    <row r="12" spans="1:33" x14ac:dyDescent="0.25">
      <c r="A12" s="1" t="s">
        <v>9</v>
      </c>
      <c r="B12" s="9">
        <v>11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2"/>
      <c r="P12" s="1"/>
      <c r="Q12" s="1"/>
      <c r="R12" s="1"/>
      <c r="S12" s="1"/>
      <c r="T12" s="1"/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/>
      </c>
      <c r="AB12" s="1"/>
      <c r="AC12" s="1"/>
      <c r="AD12" s="1"/>
      <c r="AE12" s="1"/>
      <c r="AF12" s="1"/>
      <c r="AG12" s="1"/>
    </row>
    <row r="13" spans="1:33" ht="15" customHeight="1" x14ac:dyDescent="0.25">
      <c r="A13" s="1" t="s">
        <v>4</v>
      </c>
      <c r="B13" s="9">
        <v>12</v>
      </c>
      <c r="C13" s="1"/>
      <c r="D13" s="1"/>
      <c r="E13" s="1"/>
      <c r="F13" s="1"/>
      <c r="G13" s="1"/>
      <c r="H13" s="1"/>
      <c r="I13" s="1"/>
      <c r="J13" s="1"/>
      <c r="K13" s="1" t="s">
        <v>41</v>
      </c>
      <c r="L13" s="1"/>
      <c r="M13" s="1"/>
      <c r="N13" s="1"/>
      <c r="O13" s="2"/>
      <c r="P13" s="1"/>
      <c r="Q13" s="1"/>
      <c r="R13" s="1"/>
      <c r="S13" s="1"/>
      <c r="T13" s="1"/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/>
      </c>
      <c r="AB13" s="1"/>
      <c r="AC13" s="1"/>
      <c r="AD13" s="1"/>
      <c r="AE13" s="1"/>
      <c r="AF13" s="1"/>
      <c r="AG13" s="1"/>
    </row>
    <row r="14" spans="1:33" x14ac:dyDescent="0.25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2"/>
      <c r="P14" s="1"/>
      <c r="Q14" s="1"/>
      <c r="R14" s="1"/>
      <c r="S14" s="1"/>
      <c r="T14" s="1"/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/>
      </c>
      <c r="AB14" s="1"/>
      <c r="AC14" s="1"/>
      <c r="AD14" s="1"/>
      <c r="AE14" s="1"/>
      <c r="AF14" s="1"/>
      <c r="AG14" s="1"/>
    </row>
    <row r="15" spans="1:33" x14ac:dyDescent="0.25">
      <c r="A15" s="1" t="s">
        <v>5</v>
      </c>
      <c r="B15" s="9">
        <v>14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2"/>
      <c r="P15" s="1"/>
      <c r="Q15" s="1"/>
      <c r="R15" s="1"/>
      <c r="S15" s="1"/>
      <c r="T15" s="1"/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/>
      </c>
      <c r="AB15" s="1"/>
      <c r="AC15" s="1"/>
      <c r="AD15" s="1"/>
      <c r="AE15" s="1"/>
      <c r="AF15" s="1"/>
      <c r="AG15" s="1"/>
    </row>
    <row r="16" spans="1:33" x14ac:dyDescent="0.25">
      <c r="A16" s="1" t="s">
        <v>6</v>
      </c>
      <c r="B16" s="9">
        <v>15</v>
      </c>
      <c r="C16" s="1"/>
      <c r="D16" s="1"/>
      <c r="E16" s="1"/>
      <c r="F16" s="1"/>
      <c r="G16" s="1"/>
      <c r="H16" s="1"/>
      <c r="I16" s="1"/>
      <c r="J16" s="1"/>
      <c r="K16" s="1" t="s">
        <v>41</v>
      </c>
      <c r="L16" s="1"/>
      <c r="M16" s="1"/>
      <c r="N16" s="1"/>
      <c r="O16" s="2"/>
      <c r="P16" s="1"/>
      <c r="Q16" s="1"/>
      <c r="R16" s="1"/>
      <c r="S16" s="1"/>
      <c r="T16" s="1"/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/>
      </c>
      <c r="AB16" s="1"/>
      <c r="AC16" s="1"/>
      <c r="AD16" s="1"/>
      <c r="AE16" s="1"/>
      <c r="AF16" s="1"/>
      <c r="AG16" s="1"/>
    </row>
    <row r="17" spans="1:33" x14ac:dyDescent="0.25">
      <c r="A17" s="1" t="s">
        <v>7</v>
      </c>
      <c r="B17" s="9">
        <v>16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2"/>
      <c r="P17" s="1"/>
      <c r="Q17" s="1"/>
      <c r="R17" s="1"/>
      <c r="S17" s="1"/>
      <c r="T17" s="1"/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/>
      </c>
      <c r="AB17" s="1"/>
      <c r="AC17" s="1"/>
      <c r="AD17" s="1"/>
      <c r="AE17" s="1"/>
      <c r="AF17" s="1"/>
      <c r="AG17" s="1"/>
    </row>
    <row r="18" spans="1:33" x14ac:dyDescent="0.25">
      <c r="A18" s="1" t="s">
        <v>8</v>
      </c>
      <c r="B18" s="9">
        <v>17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"/>
      <c r="P18" s="1"/>
      <c r="Q18" s="1"/>
      <c r="R18" s="1"/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/>
      <c r="AC18" s="1"/>
      <c r="AD18" s="1"/>
      <c r="AE18" s="1"/>
      <c r="AF18" s="1"/>
      <c r="AG18" s="1"/>
    </row>
    <row r="19" spans="1:33" x14ac:dyDescent="0.25">
      <c r="A19" s="1" t="s">
        <v>9</v>
      </c>
      <c r="B19" s="9">
        <v>18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2"/>
      <c r="P19" s="1"/>
      <c r="Q19" s="1"/>
      <c r="R19" s="1"/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/>
      <c r="AC19" s="1"/>
      <c r="AD19" s="1"/>
      <c r="AE19" s="1"/>
      <c r="AF19" s="1"/>
      <c r="AG19" s="1"/>
    </row>
    <row r="20" spans="1:33" x14ac:dyDescent="0.25">
      <c r="A20" s="1" t="s">
        <v>4</v>
      </c>
      <c r="B20" s="9">
        <v>19</v>
      </c>
      <c r="C20" s="1"/>
      <c r="D20" s="1"/>
      <c r="E20" s="1"/>
      <c r="F20" s="1"/>
      <c r="G20" s="1"/>
      <c r="H20" s="1"/>
      <c r="I20" s="1"/>
      <c r="J20" s="1"/>
      <c r="K20" s="1" t="s">
        <v>41</v>
      </c>
      <c r="L20" s="1"/>
      <c r="M20" s="1"/>
      <c r="N20" s="1"/>
      <c r="O20" s="2"/>
      <c r="P20" s="1"/>
      <c r="Q20" s="1"/>
      <c r="R20" s="1"/>
      <c r="S20" s="1"/>
      <c r="T20" s="1"/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/>
      </c>
      <c r="AB20" s="1"/>
      <c r="AC20" s="1"/>
      <c r="AD20" s="1"/>
      <c r="AE20" s="1"/>
      <c r="AF20" s="1"/>
      <c r="AG20" s="1"/>
    </row>
    <row r="21" spans="1:33" s="5" customFormat="1" x14ac:dyDescent="0.25">
      <c r="A21" s="2" t="s">
        <v>10</v>
      </c>
      <c r="B21" s="19">
        <v>20</v>
      </c>
      <c r="C21" s="2"/>
      <c r="D21" s="2"/>
      <c r="E21" s="2"/>
      <c r="F21" s="2"/>
      <c r="G21" s="2"/>
      <c r="H21" s="2"/>
      <c r="I21" s="2"/>
      <c r="J21" s="2"/>
      <c r="K21" s="2" t="s">
        <v>41</v>
      </c>
      <c r="L21" s="2"/>
      <c r="M21" s="2"/>
      <c r="N21" s="2"/>
      <c r="O21" s="2"/>
      <c r="P21" s="2"/>
      <c r="Q21" s="2"/>
      <c r="R21" s="2" t="s">
        <v>41</v>
      </c>
      <c r="S21" s="2"/>
      <c r="T21" s="2"/>
      <c r="W21" s="2" t="str">
        <f t="shared" si="0"/>
        <v/>
      </c>
      <c r="X21" s="2" t="str">
        <f t="shared" si="1"/>
        <v/>
      </c>
      <c r="Y21" s="2" t="str">
        <f t="shared" si="2"/>
        <v/>
      </c>
      <c r="Z21" s="2" t="str">
        <f t="shared" si="3"/>
        <v/>
      </c>
      <c r="AA21" s="2" t="str">
        <f t="shared" si="4"/>
        <v/>
      </c>
      <c r="AB21" s="2"/>
      <c r="AC21" s="2"/>
      <c r="AD21" s="2"/>
      <c r="AE21" s="2"/>
      <c r="AF21" s="2"/>
      <c r="AG21" s="2"/>
    </row>
    <row r="22" spans="1:33" x14ac:dyDescent="0.25">
      <c r="A22" s="1" t="s">
        <v>5</v>
      </c>
      <c r="B22" s="9">
        <v>21</v>
      </c>
      <c r="C22" s="1"/>
      <c r="D22" s="1"/>
      <c r="E22" s="1"/>
      <c r="F22" s="1"/>
      <c r="G22" s="1"/>
      <c r="H22" s="1"/>
      <c r="I22" s="1"/>
      <c r="J22" s="1"/>
      <c r="K22" s="1" t="s">
        <v>41</v>
      </c>
      <c r="L22" s="1"/>
      <c r="M22" s="1"/>
      <c r="N22" s="1"/>
      <c r="O22" s="2"/>
      <c r="P22" s="1"/>
      <c r="Q22" s="1"/>
      <c r="R22" s="1" t="s">
        <v>41</v>
      </c>
      <c r="S22" s="1"/>
      <c r="T22" s="1"/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/>
      </c>
      <c r="AB22" s="1"/>
      <c r="AC22" s="1"/>
      <c r="AD22" s="1"/>
      <c r="AE22" s="1"/>
      <c r="AF22" s="1"/>
      <c r="AG22" s="1"/>
    </row>
    <row r="23" spans="1:33" x14ac:dyDescent="0.25">
      <c r="A23" s="1" t="s">
        <v>6</v>
      </c>
      <c r="B23" s="9">
        <v>22</v>
      </c>
      <c r="C23" s="1"/>
      <c r="D23" s="1"/>
      <c r="E23" s="1"/>
      <c r="F23" s="1"/>
      <c r="G23" s="1"/>
      <c r="H23" s="1"/>
      <c r="I23" s="1"/>
      <c r="J23" s="1"/>
      <c r="K23" s="1" t="s">
        <v>41</v>
      </c>
      <c r="L23" s="1"/>
      <c r="M23" s="1"/>
      <c r="N23" s="1"/>
      <c r="O23" s="2"/>
      <c r="P23" s="1"/>
      <c r="Q23" s="1"/>
      <c r="R23" s="1" t="s">
        <v>41</v>
      </c>
      <c r="S23" s="1"/>
      <c r="T23" s="1"/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/>
      </c>
      <c r="AB23" s="1"/>
      <c r="AC23" s="1"/>
      <c r="AD23" s="1"/>
      <c r="AE23" s="1"/>
      <c r="AF23" s="1"/>
      <c r="AG23" s="1"/>
    </row>
    <row r="24" spans="1:33" x14ac:dyDescent="0.25">
      <c r="A24" s="1" t="s">
        <v>7</v>
      </c>
      <c r="B24" s="9">
        <v>23</v>
      </c>
      <c r="C24" s="1"/>
      <c r="D24" s="1"/>
      <c r="E24" s="1"/>
      <c r="F24" s="1"/>
      <c r="G24" s="1"/>
      <c r="H24" s="1"/>
      <c r="I24" s="1"/>
      <c r="J24" s="1"/>
      <c r="K24" s="1" t="s">
        <v>41</v>
      </c>
      <c r="L24" s="1"/>
      <c r="M24" s="1"/>
      <c r="N24" s="1"/>
      <c r="O24" s="2"/>
      <c r="P24" s="1"/>
      <c r="Q24" s="1"/>
      <c r="R24" s="1" t="s">
        <v>41</v>
      </c>
      <c r="S24" s="1"/>
      <c r="T24" s="1"/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/>
      </c>
      <c r="AB24" s="1"/>
      <c r="AC24" s="1"/>
      <c r="AD24" s="1"/>
      <c r="AE24" s="1"/>
      <c r="AF24" s="1"/>
      <c r="AG24" s="1"/>
    </row>
    <row r="25" spans="1:33" ht="15" customHeight="1" x14ac:dyDescent="0.25">
      <c r="A25" s="1" t="s">
        <v>8</v>
      </c>
      <c r="B25" s="9">
        <v>24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2"/>
      <c r="P25" s="1"/>
      <c r="Q25" s="1"/>
      <c r="R25" s="1" t="s">
        <v>41</v>
      </c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/>
      <c r="AC25" s="1"/>
      <c r="AD25" s="1"/>
      <c r="AE25" s="1"/>
      <c r="AF25" s="1"/>
      <c r="AG25" s="1"/>
    </row>
    <row r="26" spans="1:33" x14ac:dyDescent="0.25">
      <c r="A26" s="1" t="s">
        <v>9</v>
      </c>
      <c r="B26" s="9">
        <v>25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2"/>
      <c r="P26" s="1"/>
      <c r="Q26" s="1"/>
      <c r="R26" s="1"/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/>
      <c r="AC26" s="1"/>
      <c r="AD26" s="1"/>
      <c r="AE26" s="1"/>
      <c r="AF26" s="1"/>
      <c r="AG26" s="1"/>
    </row>
    <row r="27" spans="1:33" x14ac:dyDescent="0.25">
      <c r="A27" s="1" t="s">
        <v>4</v>
      </c>
      <c r="B27" s="9">
        <v>26</v>
      </c>
      <c r="C27" s="1"/>
      <c r="D27" s="1"/>
      <c r="E27" s="1"/>
      <c r="F27" s="1"/>
      <c r="G27" s="1"/>
      <c r="H27" s="1"/>
      <c r="I27" s="1"/>
      <c r="J27" s="1"/>
      <c r="K27" s="1" t="s">
        <v>41</v>
      </c>
      <c r="L27" s="1"/>
      <c r="M27" s="1"/>
      <c r="N27" s="1"/>
      <c r="O27" s="2"/>
      <c r="P27" s="1"/>
      <c r="Q27" s="1"/>
      <c r="R27" s="1"/>
      <c r="S27" s="1"/>
      <c r="T27" s="1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/>
      </c>
      <c r="AB27" s="1"/>
      <c r="AC27" s="1"/>
      <c r="AD27" s="1"/>
      <c r="AE27" s="1"/>
      <c r="AF27" s="1"/>
      <c r="AG27" s="1"/>
    </row>
    <row r="28" spans="1:33" x14ac:dyDescent="0.25">
      <c r="A28" s="1" t="s">
        <v>10</v>
      </c>
      <c r="B28" s="9">
        <v>27</v>
      </c>
      <c r="C28" s="1"/>
      <c r="D28" s="1"/>
      <c r="E28" s="1"/>
      <c r="F28" s="1"/>
      <c r="G28" s="1"/>
      <c r="H28" s="1"/>
      <c r="I28" s="1"/>
      <c r="J28" s="1"/>
      <c r="K28" s="1" t="s">
        <v>41</v>
      </c>
      <c r="L28" s="1"/>
      <c r="M28" s="1"/>
      <c r="N28" s="1"/>
      <c r="O28" s="2"/>
      <c r="P28" s="1"/>
      <c r="Q28" s="1"/>
      <c r="R28" s="1"/>
      <c r="S28" s="1"/>
      <c r="T28" s="1"/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/>
      </c>
      <c r="AB28" s="1"/>
      <c r="AC28" s="1"/>
      <c r="AD28" s="1"/>
      <c r="AE28" s="1"/>
      <c r="AF28" s="1"/>
      <c r="AG28" s="1"/>
    </row>
    <row r="29" spans="1:33" x14ac:dyDescent="0.25">
      <c r="A29" s="1" t="s">
        <v>5</v>
      </c>
      <c r="B29" s="9">
        <v>28</v>
      </c>
      <c r="C29" s="1"/>
      <c r="D29" s="1"/>
      <c r="E29" s="1"/>
      <c r="F29" s="1"/>
      <c r="G29" s="1"/>
      <c r="H29" s="1"/>
      <c r="I29" s="1"/>
      <c r="J29" s="1"/>
      <c r="K29" s="1" t="s">
        <v>41</v>
      </c>
      <c r="L29" s="1"/>
      <c r="M29" s="1"/>
      <c r="N29" s="1"/>
      <c r="O29" s="2"/>
      <c r="P29" s="1"/>
      <c r="Q29" s="1"/>
      <c r="R29" s="1" t="s">
        <v>41</v>
      </c>
      <c r="S29" s="1"/>
      <c r="T29" s="1"/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/>
      </c>
      <c r="AB29" s="1"/>
      <c r="AC29" s="1"/>
      <c r="AD29" s="1"/>
      <c r="AE29" s="1"/>
      <c r="AF29" s="1"/>
      <c r="AG29" s="1"/>
    </row>
    <row r="30" spans="1:33" x14ac:dyDescent="0.25">
      <c r="A30" s="1" t="s">
        <v>6</v>
      </c>
      <c r="B30" s="9">
        <v>29</v>
      </c>
      <c r="C30" s="1"/>
      <c r="D30" s="1"/>
      <c r="E30" s="1"/>
      <c r="F30" s="1"/>
      <c r="G30" s="1"/>
      <c r="H30" s="1"/>
      <c r="I30" s="1"/>
      <c r="J30" s="1"/>
      <c r="K30" s="1" t="s">
        <v>41</v>
      </c>
      <c r="L30" s="1"/>
      <c r="M30" s="1"/>
      <c r="N30" s="1"/>
      <c r="O30" s="2"/>
      <c r="P30" s="1"/>
      <c r="Q30" s="1"/>
      <c r="R30" s="1" t="s">
        <v>41</v>
      </c>
      <c r="S30" s="1"/>
      <c r="T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/>
      <c r="AC30" s="1"/>
      <c r="AD30" s="1"/>
      <c r="AE30" s="1"/>
      <c r="AF30" s="1"/>
      <c r="AG30" s="1"/>
    </row>
    <row r="31" spans="1:33" x14ac:dyDescent="0.25">
      <c r="A31" s="1" t="s">
        <v>7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2"/>
      <c r="P31" s="1"/>
      <c r="Q31" s="1"/>
      <c r="R31" s="1" t="s">
        <v>41</v>
      </c>
      <c r="S31" s="1"/>
      <c r="T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/>
      <c r="AC31" s="1"/>
      <c r="AD31" s="1"/>
      <c r="AE31" s="1"/>
      <c r="AF31" s="1"/>
      <c r="AG31" s="1"/>
    </row>
    <row r="32" spans="1:33" x14ac:dyDescent="0.25">
      <c r="A32" s="1" t="s">
        <v>8</v>
      </c>
      <c r="B32" s="9">
        <v>31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2"/>
      <c r="P32" s="1"/>
      <c r="Q32" s="1"/>
      <c r="R32" s="1" t="s">
        <v>41</v>
      </c>
      <c r="S32" s="1"/>
      <c r="T32" s="1"/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</row>
    <row r="33" spans="1:33" x14ac:dyDescent="0.25">
      <c r="B33" s="1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2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25">
      <c r="A34" s="7" t="s">
        <v>11</v>
      </c>
      <c r="B34" s="18"/>
      <c r="C34" s="7"/>
      <c r="D34" s="7"/>
      <c r="E34" s="7"/>
      <c r="F34" s="7"/>
      <c r="G34" s="7"/>
      <c r="H34" s="7"/>
      <c r="I34" s="7"/>
      <c r="J34" s="7"/>
      <c r="K34" s="7" t="s">
        <v>40</v>
      </c>
      <c r="L34" s="7"/>
      <c r="M34" s="7"/>
      <c r="N34" s="7" t="s">
        <v>44</v>
      </c>
      <c r="O34" s="22" t="s">
        <v>40</v>
      </c>
      <c r="P34" s="7" t="s">
        <v>40</v>
      </c>
      <c r="Q34" s="7" t="s">
        <v>43</v>
      </c>
      <c r="R34" s="7" t="s">
        <v>40</v>
      </c>
      <c r="S34" s="7"/>
      <c r="T34" s="7"/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0</v>
      </c>
    </row>
    <row r="35" spans="1:33" s="8" customFormat="1" x14ac:dyDescent="0.25">
      <c r="A35" s="1" t="s">
        <v>12</v>
      </c>
      <c r="B35" s="7"/>
      <c r="C35" s="1">
        <f t="shared" ref="C35:T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 t="shared" ref="L35:R35" si="6">COUNTIF(L2:L32,"Trauma")+COUNTIF(L2:L32,"CHP*")+COUNTIF(L2:L32,"SHY")+COUNTIF(L2:L32,"CT")</f>
        <v>0</v>
      </c>
      <c r="M35" s="1">
        <f t="shared" si="6"/>
        <v>0</v>
      </c>
      <c r="N35" s="1">
        <f t="shared" si="6"/>
        <v>0</v>
      </c>
      <c r="O35" s="2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5"/>
        <v>0</v>
      </c>
      <c r="T35" s="1">
        <f t="shared" si="5"/>
        <v>0</v>
      </c>
      <c r="U35" s="3">
        <f>SUM(AC34:AF34)</f>
        <v>0</v>
      </c>
      <c r="V35" s="3"/>
      <c r="W35" s="20"/>
      <c r="X35" s="16"/>
      <c r="Y35" s="16"/>
      <c r="Z35" s="16"/>
      <c r="AA35" s="16"/>
      <c r="AB35" s="16"/>
    </row>
    <row r="36" spans="1:33" x14ac:dyDescent="0.25">
      <c r="A36" s="1" t="s">
        <v>28</v>
      </c>
      <c r="B36" s="9"/>
      <c r="C36" s="9" t="e">
        <f>INT(RIGHT(C34))</f>
        <v>#VALUE!</v>
      </c>
      <c r="D36" s="9" t="e">
        <f t="shared" ref="D36:T36" si="7">INT(RIGHT(D34))</f>
        <v>#VALUE!</v>
      </c>
      <c r="E36" s="9" t="e">
        <f t="shared" si="7"/>
        <v>#VALUE!</v>
      </c>
      <c r="F36" s="9" t="e">
        <f t="shared" si="7"/>
        <v>#VALUE!</v>
      </c>
      <c r="G36" s="9" t="e">
        <f t="shared" si="7"/>
        <v>#VALUE!</v>
      </c>
      <c r="H36" s="9" t="e">
        <f t="shared" si="7"/>
        <v>#VALUE!</v>
      </c>
      <c r="I36" s="9" t="e">
        <f t="shared" si="7"/>
        <v>#VALUE!</v>
      </c>
      <c r="J36" s="9" t="e">
        <f t="shared" si="7"/>
        <v>#VALUE!</v>
      </c>
      <c r="K36" s="9">
        <f t="shared" si="7"/>
        <v>5</v>
      </c>
      <c r="L36" s="9" t="e">
        <f t="shared" ref="L36:R36" si="8">INT(RIGHT(L34))</f>
        <v>#VALUE!</v>
      </c>
      <c r="M36" s="9" t="e">
        <f t="shared" si="8"/>
        <v>#VALUE!</v>
      </c>
      <c r="N36" s="9">
        <f t="shared" si="8"/>
        <v>5</v>
      </c>
      <c r="O36" s="1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5</v>
      </c>
      <c r="S36" s="9" t="e">
        <f t="shared" si="7"/>
        <v>#VALUE!</v>
      </c>
      <c r="T36" s="9" t="e">
        <f t="shared" si="7"/>
        <v>#VALUE!</v>
      </c>
      <c r="U36" s="3" t="e">
        <f>SUM(D36:T36)</f>
        <v>#VALUE!</v>
      </c>
    </row>
    <row r="37" spans="1:33" x14ac:dyDescent="0.25">
      <c r="A37" s="1" t="s">
        <v>30</v>
      </c>
      <c r="B37" s="9"/>
      <c r="C37" s="9" t="e">
        <f t="shared" ref="C37:T37" si="9">C36-C35</f>
        <v>#VALUE!</v>
      </c>
      <c r="D37" s="9" t="e">
        <f t="shared" si="9"/>
        <v>#VALUE!</v>
      </c>
      <c r="E37" s="9" t="e">
        <f t="shared" si="9"/>
        <v>#VALUE!</v>
      </c>
      <c r="F37" s="9" t="e">
        <f t="shared" si="9"/>
        <v>#VALUE!</v>
      </c>
      <c r="G37" s="9" t="e">
        <f t="shared" si="9"/>
        <v>#VALUE!</v>
      </c>
      <c r="H37" s="9" t="e">
        <f t="shared" si="9"/>
        <v>#VALUE!</v>
      </c>
      <c r="I37" s="9" t="e">
        <f t="shared" si="9"/>
        <v>#VALUE!</v>
      </c>
      <c r="J37" s="9" t="e">
        <f t="shared" si="9"/>
        <v>#VALUE!</v>
      </c>
      <c r="K37" s="9">
        <f t="shared" si="9"/>
        <v>5</v>
      </c>
      <c r="L37" s="9" t="e">
        <f t="shared" ref="L37:R37" si="10">L36-L35</f>
        <v>#VALUE!</v>
      </c>
      <c r="M37" s="9" t="e">
        <f t="shared" si="10"/>
        <v>#VALUE!</v>
      </c>
      <c r="N37" s="9">
        <f t="shared" si="10"/>
        <v>5</v>
      </c>
      <c r="O37" s="19">
        <f t="shared" si="10"/>
        <v>5</v>
      </c>
      <c r="P37" s="9">
        <f t="shared" si="10"/>
        <v>5</v>
      </c>
      <c r="Q37" s="9">
        <f t="shared" si="10"/>
        <v>4</v>
      </c>
      <c r="R37" s="9">
        <f t="shared" si="10"/>
        <v>5</v>
      </c>
      <c r="S37" s="9" t="e">
        <f t="shared" si="9"/>
        <v>#VALUE!</v>
      </c>
      <c r="T37" s="9" t="e">
        <f t="shared" si="9"/>
        <v>#VALUE!</v>
      </c>
    </row>
    <row r="38" spans="1:33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19"/>
      <c r="P38" s="9"/>
      <c r="Q38" s="9"/>
      <c r="R38" s="9"/>
      <c r="S38" s="9"/>
      <c r="T38" s="9"/>
      <c r="U38" s="3">
        <f>SUM($AC$34:$AG$34)</f>
        <v>0</v>
      </c>
    </row>
    <row r="39" spans="1:33" x14ac:dyDescent="0.25">
      <c r="A39" s="1" t="s">
        <v>2</v>
      </c>
      <c r="B39" s="9"/>
      <c r="C39" s="9">
        <f t="shared" ref="C39:R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1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ref="C39:T43" si="12">COUNTIF(S$2:S$32,$A39)</f>
        <v>0</v>
      </c>
      <c r="T39" s="9">
        <f t="shared" si="12"/>
        <v>0</v>
      </c>
    </row>
    <row r="40" spans="1:33" x14ac:dyDescent="0.25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1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25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1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25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1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25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1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2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>
        <f t="shared" si="13"/>
        <v>0</v>
      </c>
      <c r="T44" s="1">
        <f t="shared" si="13"/>
        <v>0</v>
      </c>
    </row>
    <row r="45" spans="1:33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2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>
        <f t="shared" si="15"/>
        <v>0</v>
      </c>
      <c r="T45" s="1">
        <f t="shared" si="15"/>
        <v>0</v>
      </c>
    </row>
    <row r="46" spans="1:33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2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>
        <f t="shared" si="17"/>
        <v>0</v>
      </c>
      <c r="T46" s="1">
        <f t="shared" si="17"/>
        <v>0</v>
      </c>
    </row>
    <row r="47" spans="1:33" x14ac:dyDescent="0.25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2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>
        <f t="shared" si="19"/>
        <v>0</v>
      </c>
      <c r="T47" s="1">
        <f t="shared" si="19"/>
        <v>0</v>
      </c>
    </row>
    <row r="48" spans="1:33" x14ac:dyDescent="0.25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</v>
      </c>
      <c r="F48" s="11">
        <f>SUMPRODUCT(COUNTIFS($A$2:$A$32,{"Fri";"Sat";"Sun"},F$2:F$32,"x"))/$B48</f>
        <v>0</v>
      </c>
      <c r="G48" s="11">
        <f>SUMPRODUCT(COUNTIFS($A$2:$A$32,{"Fri";"Sat";"Sun"},G$2:G$32,"x"))/$B48</f>
        <v>0</v>
      </c>
      <c r="H48" s="11">
        <f>SUMPRODUCT(COUNTIFS($A$2:$A$32,{"Fri";"Sat";"Sun"},H$2:H$32,"x"))/$B48</f>
        <v>0</v>
      </c>
      <c r="I48" s="11">
        <f>SUMPRODUCT(COUNTIFS($A$2:$A$32,{"Fri";"Sat";"Sun"},I$2:I$32,"x"))/$B48</f>
        <v>0</v>
      </c>
      <c r="J48" s="11">
        <f>SUMPRODUCT(COUNTIFS($A$2:$A$32,{"Fri";"Sat";"Sun"},J$2:J$32,"x"))/$B48</f>
        <v>0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23">
        <f>SUMPRODUCT(COUNTIFS($A$2:$A$32,{"Fri";"Sat";"Sun"},O$2:O$32,"x"))/$B48</f>
        <v>0</v>
      </c>
      <c r="P48" s="11">
        <f>SUMPRODUCT(COUNTIFS($A$2:$A$32,{"Fri";"Sat";"Sun"},P$2:P$32,"x"))/$B48</f>
        <v>0.14285714285714285</v>
      </c>
      <c r="Q48" s="11">
        <f>SUMPRODUCT(COUNTIFS($A$2:$A$32,{"Fri";"Sat";"Sun"},Q$2:Q$32,"x"))/$B48</f>
        <v>0</v>
      </c>
      <c r="R48" s="11">
        <f>SUMPRODUCT(COUNTIFS($A$2:$A$32,{"Fri";"Sat";"Sun"},R$2:R$32,"x"))/$B48</f>
        <v>0.42857142857142855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</row>
    <row r="49" spans="1:20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</v>
      </c>
      <c r="D49" s="11">
        <f t="shared" si="21"/>
        <v>0</v>
      </c>
      <c r="E49" s="11">
        <f t="shared" si="21"/>
        <v>0</v>
      </c>
      <c r="F49" s="11">
        <f t="shared" si="21"/>
        <v>0</v>
      </c>
      <c r="G49" s="11">
        <f t="shared" si="21"/>
        <v>0</v>
      </c>
      <c r="H49" s="11">
        <f t="shared" si="21"/>
        <v>0</v>
      </c>
      <c r="I49" s="11">
        <f t="shared" si="21"/>
        <v>0</v>
      </c>
      <c r="J49" s="11">
        <f t="shared" si="21"/>
        <v>0</v>
      </c>
      <c r="K49" s="11">
        <f t="shared" si="21"/>
        <v>0.58064516129032262</v>
      </c>
      <c r="L49" s="11">
        <f t="shared" si="21"/>
        <v>0</v>
      </c>
      <c r="M49" s="11">
        <f t="shared" si="21"/>
        <v>0</v>
      </c>
      <c r="N49" s="11">
        <f t="shared" si="21"/>
        <v>9.6774193548387094E-2</v>
      </c>
      <c r="O49" s="23">
        <f t="shared" si="21"/>
        <v>0</v>
      </c>
      <c r="P49" s="11">
        <f t="shared" si="21"/>
        <v>0.12903225806451613</v>
      </c>
      <c r="Q49" s="11">
        <f t="shared" si="21"/>
        <v>0</v>
      </c>
      <c r="R49" s="11">
        <f t="shared" si="21"/>
        <v>0.29032258064516131</v>
      </c>
      <c r="S49" s="11">
        <f t="shared" si="21"/>
        <v>0</v>
      </c>
      <c r="T49" s="11">
        <f t="shared" si="21"/>
        <v>0</v>
      </c>
    </row>
    <row r="50" spans="1:20" x14ac:dyDescent="0.25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21"/>
      <c r="P50" s="12"/>
      <c r="Q50" s="12"/>
      <c r="R50" s="12"/>
      <c r="S50" s="12"/>
      <c r="T50" s="12"/>
    </row>
    <row r="51" spans="1:20" x14ac:dyDescent="0.25">
      <c r="A51" s="12"/>
      <c r="B51" s="12"/>
      <c r="C51" s="12" t="s">
        <v>42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 t="s">
        <v>45</v>
      </c>
      <c r="O51" s="21" t="s">
        <v>45</v>
      </c>
      <c r="P51" s="12"/>
      <c r="Q51" s="12"/>
      <c r="R51" s="12" t="s">
        <v>45</v>
      </c>
      <c r="S51" s="12"/>
      <c r="T51" s="12"/>
    </row>
    <row r="52" spans="1:20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21"/>
      <c r="P52" s="12"/>
      <c r="Q52" s="12"/>
      <c r="R52" s="12"/>
      <c r="S52" s="12"/>
      <c r="T52" s="12"/>
    </row>
    <row r="53" spans="1:20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21"/>
      <c r="P53" s="12"/>
      <c r="Q53" s="12"/>
      <c r="R53" s="12"/>
      <c r="S53" s="12"/>
      <c r="T53" s="12"/>
    </row>
    <row r="57" spans="1:20" x14ac:dyDescent="0.25">
      <c r="C57" s="8"/>
    </row>
  </sheetData>
  <conditionalFormatting sqref="I8:R8 C4:C30 S2:S22 T2:T33 D23:S30 D4:R7 D8:G8 D9:R22 C31:S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T32:T33 C4:C30 S2:T22 D23:T30 D4:R22 C32:S32 C31:T31 C2:R3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R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1048576">
    <cfRule type="notContainsBlanks" dxfId="17" priority="30">
      <formula>LEN(TRIM(X1))&gt;0</formula>
    </cfRule>
  </conditionalFormatting>
  <conditionalFormatting sqref="AG1:AG1048576 AA1:AB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R8 C4:C30 S2:S22 T2:T33 D23:S30 D4:R7 D8:G8 D9:R22 C31:S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2017-06-04T19:21:07Z</dcterms:modified>
</cp:coreProperties>
</file>