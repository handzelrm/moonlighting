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CsYQ6zt1zPv4OOTM6IRc4HsgWVG3pj3pcqGzqjt6MQueHwRAZY1I+UiQ9ZLBzh83dPHk3TMRn+hjbLEshPGzGA==" workbookSaltValue="5z7+4Ih+M6fQ630yvIh+mQ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L35" i="3" l="1"/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J35" i="5"/>
  <c r="L35" i="5"/>
  <c r="O35" i="5"/>
  <c r="Q35" i="5"/>
  <c r="S35" i="5"/>
  <c r="T35" i="5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F35" i="5" s="1"/>
  <c r="G35" i="3"/>
  <c r="G35" i="5" s="1"/>
  <c r="H35" i="3"/>
  <c r="H35" i="5" s="1"/>
  <c r="I35" i="3"/>
  <c r="I35" i="5" s="1"/>
  <c r="J35" i="3"/>
  <c r="K35" i="3"/>
  <c r="K35" i="5" s="1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<sst xmlns="http://schemas.openxmlformats.org/spreadsheetml/2006/main" count="153" uniqueCount="49">
  <si>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</si>
  <si>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</si>
  <si>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</si>
  <si>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</si>
  <si>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</si>
  <si>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</si>
  <si>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</si>
  <si>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</si>
  <si>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</si>
  <si>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</si>
  <si>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</si>
  <si>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</si>
  <si>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</si>
  <si>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</si>
  <si>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</si>
  <si>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</si>
  <si>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</si>
  <si>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</si>
  <si>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</si>
  <si>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</si>
  <si>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</si>
  <si>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</si>
  <si>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</si>
  <si>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</si>
  <si>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</si>
  <si>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</si>
  <si>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</si>
  <si>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</si>
  <si>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</si>
  <si>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</si>
  <si>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</si>
  <si>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</si>
  <si>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</si>
  <si>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</si>
  <si>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</si>
  <si>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</si>
  <si>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</si>
  <si>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</si>
  <si>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</si>
  <si>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</si>
  <si>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</si>
  <si>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</si>
  <si>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</si>
  <si>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</si>
  <si>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</si>
  <si>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</si>
  <si>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</si>
  <si>
    <t>3-4</t>
  </si>
  <si>
    <t>no fri/sat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</si>
</sst>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" sqref="G3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10.42578125" style="13" customWidth="1"/>
    <col min="4" max="4" width="13" style="13" bestFit="1" customWidth="1"/>
    <col min="5" max="12" width="10.42578125" style="13" customWidth="1"/>
    <col min="13" max="13" width="11.7109375" style="13" bestFit="1" customWidth="1"/>
    <col min="14" max="20" width="10.42578125" style="13" customWidth="1"/>
    <col min="21" max="21" width="8.5703125" style="13" customWidth="1"/>
    <col min="22" max="23" width="14.5703125" style="13" bestFit="1" customWidth="1"/>
    <col min="24" max="24" width="7.28515625" style="13" bestFit="1" customWidth="1"/>
    <col min="25" max="25" width="12.140625" style="13" bestFit="1" customWidth="1"/>
    <col min="26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/>
      </c>
      <c r="I34" s="13" t="str">
        <f>IF(ISBLANK(Master!I34),"",Master!I34)</f>
        <v>5</v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0" sqref="K10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5" bestFit="1" customWidth="1"/>
    <col min="12" max="12" width="10" style="3" bestFit="1" customWidth="1"/>
    <col min="13" max="13" width="14.5703125" style="3" bestFit="1" customWidth="1"/>
    <col min="14" max="14" width="10.5703125" style="3" bestFit="1" customWidth="1"/>
    <col min="15" max="15" width="9.7109375" style="3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140625" style="3" bestFit="1" customWidth="1"/>
    <col min="20" max="21" width="10" style="3" bestFit="1" customWidth="1"/>
    <col min="22" max="22" width="16.85546875" style="3" bestFit="1" customWidth="1"/>
    <col min="23" max="27" width="20.140625" style="10" bestFit="1" customWidth="1"/>
    <col min="28" max="28" width="15.85546875" style="10" customWidth="1"/>
    <col min="29" max="33" width="7.85546875" style="3" customWidth="1"/>
    <col min="34" max="16384" width="8.85546875" style="3"/>
  </cols>
  <sheetData>
    <row r="1" spans="1:33" x14ac:dyDescent="0.25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2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25">
      <c r="A2" s="1" t="s">
        <v>6</v>
      </c>
      <c r="B2" s="9">
        <v>1</v>
      </c>
      <c r="C2" s="1"/>
      <c r="D2" s="1"/>
      <c r="E2" s="1"/>
      <c r="F2" s="1" t="s">
        <v>40</v>
      </c>
      <c r="G2" s="1">
        <v>0</v>
      </c>
      <c r="H2" s="1">
        <v>1</v>
      </c>
      <c r="I2" s="1" t="s">
        <v>40</v>
      </c>
      <c r="J2" s="1"/>
      <c r="K2" s="2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25">
      <c r="A3" s="1" t="s">
        <v>7</v>
      </c>
      <c r="B3" s="9">
        <v>2</v>
      </c>
      <c r="C3" s="1"/>
      <c r="D3" s="1"/>
      <c r="E3" s="1"/>
      <c r="F3" s="1" t="s">
        <v>40</v>
      </c>
      <c r="G3" s="1">
        <v>1</v>
      </c>
      <c r="H3" s="1"/>
      <c r="I3" s="1" t="s">
        <v>40</v>
      </c>
      <c r="J3" s="1"/>
      <c r="K3" s="2" t="s">
        <v>40</v>
      </c>
      <c r="L3" s="1"/>
      <c r="M3" s="1"/>
      <c r="N3" s="1" t="s">
        <v>40</v>
      </c>
      <c r="O3" s="1"/>
      <c r="P3" s="1" t="s">
        <v>40</v>
      </c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25">
      <c r="A4" s="1" t="s">
        <v>8</v>
      </c>
      <c r="B4" s="9">
        <v>3</v>
      </c>
      <c r="C4" s="1"/>
      <c r="D4" s="1"/>
      <c r="E4" s="1"/>
      <c r="F4" s="1" t="s">
        <v>40</v>
      </c>
      <c r="G4" s="1"/>
      <c r="H4" s="1"/>
      <c r="I4" s="1" t="s">
        <v>40</v>
      </c>
      <c r="J4" s="1"/>
      <c r="K4" s="2" t="s">
        <v>40</v>
      </c>
      <c r="L4" s="1"/>
      <c r="M4" s="1"/>
      <c r="N4" s="1" t="s">
        <v>40</v>
      </c>
      <c r="O4" s="1"/>
      <c r="P4" s="1" t="s">
        <v>40</v>
      </c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25">
      <c r="A5" s="1" t="s">
        <v>9</v>
      </c>
      <c r="B5" s="9">
        <v>4</v>
      </c>
      <c r="C5" s="1"/>
      <c r="D5" s="1"/>
      <c r="E5" s="1"/>
      <c r="F5" s="1" t="s">
        <v>40</v>
      </c>
      <c r="G5" s="1"/>
      <c r="H5" s="1"/>
      <c r="I5" s="1" t="s">
        <v>40</v>
      </c>
      <c r="J5" s="1"/>
      <c r="K5" s="2" t="s">
        <v>40</v>
      </c>
      <c r="L5" s="1"/>
      <c r="M5" s="1"/>
      <c r="N5" s="1"/>
      <c r="O5" s="1"/>
      <c r="P5" s="1" t="s">
        <v>40</v>
      </c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25">
      <c r="A6" s="1" t="s">
        <v>4</v>
      </c>
      <c r="B6" s="9">
        <v>5</v>
      </c>
      <c r="C6" s="1"/>
      <c r="D6" s="1"/>
      <c r="E6" s="1"/>
      <c r="F6" s="1"/>
      <c r="G6" s="1"/>
      <c r="H6" s="1"/>
      <c r="I6" s="1" t="s">
        <v>40</v>
      </c>
      <c r="J6" s="1"/>
      <c r="K6" s="2" t="s">
        <v>40</v>
      </c>
      <c r="L6" s="1"/>
      <c r="M6" s="1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25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25">
      <c r="A8" s="1" t="s">
        <v>5</v>
      </c>
      <c r="B8" s="9">
        <v>7</v>
      </c>
      <c r="C8" s="1"/>
      <c r="D8" s="1"/>
      <c r="E8" s="1"/>
      <c r="F8" s="1" t="s">
        <v>40</v>
      </c>
      <c r="G8" s="1" t="s">
        <v>40</v>
      </c>
      <c r="H8" s="1"/>
      <c r="I8" s="1"/>
      <c r="J8" s="1"/>
      <c r="K8" s="2" t="s">
        <v>40</v>
      </c>
      <c r="L8" s="1"/>
      <c r="M8" s="1"/>
      <c r="N8" s="1"/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25">
      <c r="A9" s="1" t="s">
        <v>6</v>
      </c>
      <c r="B9" s="9">
        <v>8</v>
      </c>
      <c r="C9" s="1"/>
      <c r="D9" s="1"/>
      <c r="E9" s="1"/>
      <c r="F9" s="1" t="s">
        <v>40</v>
      </c>
      <c r="G9" s="1" t="s">
        <v>40</v>
      </c>
      <c r="H9" s="1"/>
      <c r="I9" s="1" t="s">
        <v>40</v>
      </c>
      <c r="J9" s="1"/>
      <c r="K9" s="2" t="s">
        <v>40</v>
      </c>
      <c r="L9" s="1"/>
      <c r="M9" s="1"/>
      <c r="N9" s="1"/>
      <c r="O9" s="1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s="5" customFormat="1" x14ac:dyDescent="0.25">
      <c r="A10" s="2" t="s">
        <v>7</v>
      </c>
      <c r="B10" s="19">
        <v>9</v>
      </c>
      <c r="C10" s="2"/>
      <c r="D10" s="2"/>
      <c r="E10" s="2"/>
      <c r="F10" s="2" t="s">
        <v>40</v>
      </c>
      <c r="G10" s="2" t="s">
        <v>40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W10" s="2" t="str">
        <f t="shared" si="0"/>
        <v/>
      </c>
      <c r="X10" s="2" t="str">
        <f t="shared" si="1"/>
        <v/>
      </c>
      <c r="Y10" s="2" t="str">
        <f t="shared" si="2"/>
        <v/>
      </c>
      <c r="Z10" s="2" t="str">
        <f t="shared" si="3"/>
        <v/>
      </c>
      <c r="AA10" s="2" t="str">
        <f t="shared" si="4"/>
        <v/>
      </c>
      <c r="AB10" s="2"/>
      <c r="AC10" s="2"/>
      <c r="AD10" s="2"/>
      <c r="AE10" s="2"/>
      <c r="AF10" s="2"/>
      <c r="AG10" s="2"/>
    </row>
    <row r="11" spans="1:33" x14ac:dyDescent="0.25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2"/>
      <c r="L11" s="1"/>
      <c r="M11" s="1"/>
      <c r="N11" s="1"/>
      <c r="O11" s="1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25">
      <c r="A12" s="1" t="s">
        <v>9</v>
      </c>
      <c r="B12" s="9">
        <v>11</v>
      </c>
      <c r="C12" s="1"/>
      <c r="D12" s="1"/>
      <c r="E12" s="1"/>
      <c r="F12" s="1"/>
      <c r="G12" s="1"/>
      <c r="H12" s="1"/>
      <c r="I12" s="1" t="s">
        <v>40</v>
      </c>
      <c r="J12" s="1"/>
      <c r="K12" s="2"/>
      <c r="L12" s="1"/>
      <c r="M12" s="1"/>
      <c r="N12" s="1"/>
      <c r="O12" s="1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25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 t="s">
        <v>40</v>
      </c>
      <c r="J13" s="1"/>
      <c r="K13" s="2" t="s">
        <v>40</v>
      </c>
      <c r="L13" s="1"/>
      <c r="M13" s="1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25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2"/>
      <c r="L14" s="1"/>
      <c r="M14" s="1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25">
      <c r="A15" s="1" t="s">
        <v>5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2"/>
      <c r="L15" s="1"/>
      <c r="M15" s="1"/>
      <c r="N15" s="1"/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25">
      <c r="A16" s="1" t="s">
        <v>6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2" t="s">
        <v>40</v>
      </c>
      <c r="L16" s="1"/>
      <c r="M16" s="1"/>
      <c r="N16" s="1"/>
      <c r="O16" s="1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25">
      <c r="A17" s="1" t="s">
        <v>7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2"/>
      <c r="L17" s="1"/>
      <c r="M17" s="1"/>
      <c r="N17" s="1"/>
      <c r="O17" s="1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25">
      <c r="A18" s="1" t="s">
        <v>8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2"/>
      <c r="L18" s="1"/>
      <c r="M18" s="1"/>
      <c r="N18" s="1"/>
      <c r="O18" s="1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25">
      <c r="A19" s="1" t="s">
        <v>9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2"/>
      <c r="L19" s="1"/>
      <c r="M19" s="1"/>
      <c r="N19" s="1"/>
      <c r="O19" s="1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25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2" t="s">
        <v>40</v>
      </c>
      <c r="L20" s="1"/>
      <c r="M20" s="1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25">
      <c r="A21" s="1" t="s">
        <v>10</v>
      </c>
      <c r="B21" s="9">
        <v>20</v>
      </c>
      <c r="C21" s="1"/>
      <c r="D21" s="1"/>
      <c r="E21" s="1"/>
      <c r="F21" s="1"/>
      <c r="G21" s="1"/>
      <c r="H21" s="1"/>
      <c r="I21" s="1"/>
      <c r="J21" s="1"/>
      <c r="K21" s="2" t="s">
        <v>40</v>
      </c>
      <c r="L21" s="1"/>
      <c r="M21" s="1"/>
      <c r="N21" s="1"/>
      <c r="O21" s="1"/>
      <c r="P21" s="1"/>
      <c r="Q21" s="1"/>
      <c r="R21" s="1" t="s">
        <v>40</v>
      </c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25">
      <c r="A22" s="1" t="s">
        <v>5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2" t="s">
        <v>40</v>
      </c>
      <c r="L22" s="1"/>
      <c r="M22" s="1"/>
      <c r="N22" s="1"/>
      <c r="O22" s="1"/>
      <c r="P22" s="1"/>
      <c r="Q22" s="1"/>
      <c r="R22" s="1" t="s">
        <v>40</v>
      </c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25">
      <c r="A23" s="1" t="s">
        <v>6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2" t="s">
        <v>40</v>
      </c>
      <c r="L23" s="1"/>
      <c r="M23" s="1"/>
      <c r="N23" s="1"/>
      <c r="O23" s="1"/>
      <c r="P23" s="1"/>
      <c r="Q23" s="1"/>
      <c r="R23" s="1" t="s">
        <v>40</v>
      </c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25">
      <c r="A24" s="1" t="s">
        <v>7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2" t="s">
        <v>40</v>
      </c>
      <c r="L24" s="1"/>
      <c r="M24" s="1"/>
      <c r="N24" s="1"/>
      <c r="O24" s="1"/>
      <c r="P24" s="1"/>
      <c r="Q24" s="1"/>
      <c r="R24" s="1" t="s">
        <v>40</v>
      </c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25">
      <c r="A25" s="1" t="s">
        <v>8</v>
      </c>
      <c r="B25" s="9">
        <v>24</v>
      </c>
      <c r="C25" s="1"/>
      <c r="D25" s="1"/>
      <c r="E25" s="1"/>
      <c r="F25" s="1"/>
      <c r="G25" s="1"/>
      <c r="H25" s="1"/>
      <c r="I25" s="1"/>
      <c r="J25" s="1"/>
      <c r="K25" s="2"/>
      <c r="L25" s="1"/>
      <c r="M25" s="1"/>
      <c r="N25" s="1"/>
      <c r="O25" s="1"/>
      <c r="P25" s="1"/>
      <c r="Q25" s="1"/>
      <c r="R25" s="1" t="s">
        <v>40</v>
      </c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25">
      <c r="A26" s="1" t="s">
        <v>9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2"/>
      <c r="L26" s="1"/>
      <c r="M26" s="1" t="s">
        <v>40</v>
      </c>
      <c r="N26" s="1"/>
      <c r="O26" s="1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25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2" t="s">
        <v>40</v>
      </c>
      <c r="L27" s="1"/>
      <c r="M27" s="1" t="s">
        <v>40</v>
      </c>
      <c r="N27" s="1"/>
      <c r="O27" s="1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25">
      <c r="A28" s="1" t="s">
        <v>10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2" t="s">
        <v>40</v>
      </c>
      <c r="L28" s="1"/>
      <c r="M28" s="1" t="s">
        <v>40</v>
      </c>
      <c r="N28" s="1"/>
      <c r="O28" s="1"/>
      <c r="P28" s="1" t="s">
        <v>40</v>
      </c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25">
      <c r="A29" s="1" t="s">
        <v>5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2" t="s">
        <v>40</v>
      </c>
      <c r="L29" s="1"/>
      <c r="M29" s="1"/>
      <c r="N29" s="1"/>
      <c r="O29" s="1"/>
      <c r="P29" s="1" t="s">
        <v>40</v>
      </c>
      <c r="Q29" s="1"/>
      <c r="R29" s="1" t="s">
        <v>40</v>
      </c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25">
      <c r="A30" s="1" t="s">
        <v>6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2" t="s">
        <v>40</v>
      </c>
      <c r="L30" s="1"/>
      <c r="M30" s="1"/>
      <c r="N30" s="1"/>
      <c r="O30" s="1"/>
      <c r="P30" s="1" t="s">
        <v>40</v>
      </c>
      <c r="Q30" s="1"/>
      <c r="R30" s="1" t="s">
        <v>40</v>
      </c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25">
      <c r="A31" s="1" t="s">
        <v>7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2"/>
      <c r="L31" s="1"/>
      <c r="M31" s="1"/>
      <c r="N31" s="1"/>
      <c r="O31" s="1"/>
      <c r="P31" s="1" t="s">
        <v>40</v>
      </c>
      <c r="Q31" s="1"/>
      <c r="R31" s="1" t="s">
        <v>40</v>
      </c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25">
      <c r="A32" s="1" t="s">
        <v>8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2"/>
      <c r="L32" s="1"/>
      <c r="M32" s="1"/>
      <c r="N32" s="1"/>
      <c r="O32" s="1"/>
      <c r="P32" s="1"/>
      <c r="Q32" s="1"/>
      <c r="R32" s="1" t="s">
        <v>40</v>
      </c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25">
      <c r="B33" s="18"/>
      <c r="C33" s="1"/>
      <c r="D33" s="1"/>
      <c r="E33" s="1"/>
      <c r="F33" s="1"/>
      <c r="G33" s="1"/>
      <c r="H33" s="1"/>
      <c r="I33" s="1"/>
      <c r="J33" s="1"/>
      <c r="K33" s="2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18"/>
      <c r="C34" s="7"/>
      <c r="D34" s="7"/>
      <c r="E34" s="7"/>
      <c r="F34" s="7" t="s">
        <v>45</v>
      </c>
      <c r="G34" s="7" t="s">
        <v>39</v>
      </c>
      <c r="H34" s="7"/>
      <c r="I34" s="7" t="s">
        <v>39</v>
      </c>
      <c r="J34" s="7"/>
      <c r="K34" s="22" t="s">
        <v>39</v>
      </c>
      <c r="L34" s="7" t="s">
        <v>47</v>
      </c>
      <c r="M34" s="7" t="s">
        <v>43</v>
      </c>
      <c r="N34" s="7" t="s">
        <v>43</v>
      </c>
      <c r="O34" s="7" t="s">
        <v>39</v>
      </c>
      <c r="P34" s="7" t="s">
        <v>39</v>
      </c>
      <c r="Q34" s="7" t="s">
        <v>42</v>
      </c>
      <c r="R34" s="7" t="s">
        <v>39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25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2">
        <f t="shared" si="5"/>
        <v>0</v>
      </c>
      <c r="L35" s="1">
        <f>COUNTIF(L2:L32,"Trauma")+COUNTIF(L2:L32,"CHP*")+COUNTIF(L2:L32,"SHY")+COUNTIF(L2:L32,"CT")</f>
        <v>0</v>
      </c>
      <c r="M35" s="1">
        <f t="shared" ref="L35:R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 t="e">
        <f>INT(RIGHT(C34))</f>
        <v>#VALUE!</v>
      </c>
      <c r="D36" s="9" t="e">
        <f t="shared" ref="D36:T36" si="7">INT(RIGHT(D34))</f>
        <v>#VALUE!</v>
      </c>
      <c r="E36" s="9" t="e">
        <f t="shared" si="7"/>
        <v>#VALUE!</v>
      </c>
      <c r="F36" s="9">
        <f t="shared" si="7"/>
        <v>3</v>
      </c>
      <c r="G36" s="9">
        <f t="shared" si="7"/>
        <v>5</v>
      </c>
      <c r="H36" s="9" t="e">
        <f t="shared" si="7"/>
        <v>#VALUE!</v>
      </c>
      <c r="I36" s="9">
        <f t="shared" si="7"/>
        <v>5</v>
      </c>
      <c r="J36" s="9" t="e">
        <f t="shared" si="7"/>
        <v>#VALUE!</v>
      </c>
      <c r="K36" s="1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 t="e">
        <f t="shared" si="7"/>
        <v>#VALUE!</v>
      </c>
      <c r="T36" s="9" t="e">
        <f t="shared" si="7"/>
        <v>#VALUE!</v>
      </c>
      <c r="U36" s="3" t="e">
        <f>SUM(D36:T36)</f>
        <v>#VALUE!</v>
      </c>
    </row>
    <row r="37" spans="1:33" x14ac:dyDescent="0.25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>
        <f t="shared" si="9"/>
        <v>3</v>
      </c>
      <c r="G37" s="9">
        <f t="shared" si="9"/>
        <v>5</v>
      </c>
      <c r="H37" s="9" t="e">
        <f t="shared" si="9"/>
        <v>#VALUE!</v>
      </c>
      <c r="I37" s="9">
        <f t="shared" si="9"/>
        <v>5</v>
      </c>
      <c r="J37" s="9" t="e">
        <f t="shared" si="9"/>
        <v>#VALUE!</v>
      </c>
      <c r="K37" s="19">
        <f t="shared" si="9"/>
        <v>5</v>
      </c>
      <c r="L37" s="9">
        <f t="shared" ref="L37:R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 t="e">
        <f t="shared" si="9"/>
        <v>#VALUE!</v>
      </c>
      <c r="T37" s="9" t="e">
        <f t="shared" si="9"/>
        <v>#VALUE!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1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25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1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1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1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1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1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2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2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2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2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</v>
      </c>
      <c r="I48" s="11">
        <f>SUMPRODUCT(COUNTIFS($A$2:$A$32,{"Fri";"Sat";"Sun"},I$2:I$32,"x"))/$B48</f>
        <v>0.21428571428571427</v>
      </c>
      <c r="J48" s="11">
        <f>SUMPRODUCT(COUNTIFS($A$2:$A$32,{"Fri";"Sat";"Sun"},J$2:J$32,"x"))/$B48</f>
        <v>0</v>
      </c>
      <c r="K48" s="23">
        <f>SUMPRODUCT(COUNTIFS($A$2:$A$32,{"Fri";"Sat";"Sun"},K$2:K$32,"x"))/$B48</f>
        <v>0.7142857142857143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0.22580645161290322</v>
      </c>
      <c r="G49" s="11">
        <f t="shared" si="21"/>
        <v>9.6774193548387094E-2</v>
      </c>
      <c r="H49" s="11">
        <f t="shared" si="21"/>
        <v>0</v>
      </c>
      <c r="I49" s="11">
        <f t="shared" si="21"/>
        <v>0.29032258064516131</v>
      </c>
      <c r="J49" s="11">
        <f t="shared" si="21"/>
        <v>0</v>
      </c>
      <c r="K49" s="23">
        <f t="shared" si="21"/>
        <v>0.58064516129032262</v>
      </c>
      <c r="L49" s="11">
        <f t="shared" si="21"/>
        <v>0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0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21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12" t="s">
        <v>41</v>
      </c>
      <c r="D51" s="12"/>
      <c r="E51" s="12"/>
      <c r="F51" s="12"/>
      <c r="G51" s="12"/>
      <c r="H51" s="12"/>
      <c r="I51" s="12"/>
      <c r="J51" s="12"/>
      <c r="K51" s="21"/>
      <c r="L51" s="12" t="s">
        <v>48</v>
      </c>
      <c r="M51" s="12"/>
      <c r="N51" s="12" t="s">
        <v>44</v>
      </c>
      <c r="O51" s="12" t="s">
        <v>44</v>
      </c>
      <c r="P51" s="12"/>
      <c r="Q51" s="12"/>
      <c r="R51" s="12" t="s">
        <v>44</v>
      </c>
      <c r="S51" s="12"/>
      <c r="T51" s="12"/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21"/>
      <c r="L52" s="12"/>
      <c r="M52" s="12"/>
      <c r="N52" s="12"/>
      <c r="O52" s="12"/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21"/>
      <c r="L53" s="12"/>
      <c r="M53" s="12"/>
      <c r="N53" s="12"/>
      <c r="O53" s="12"/>
      <c r="P53" s="12"/>
      <c r="Q53" s="12"/>
      <c r="R53" s="12"/>
      <c r="S53" s="12"/>
      <c r="T53" s="12"/>
    </row>
    <row r="57" spans="1:20" x14ac:dyDescent="0.25">
      <c r="C57" s="8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2017-06-05T13:56:25Z</dcterms:modified>
</cp:coreProperties>
</file>