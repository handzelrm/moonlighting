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zjJN+Be3dcIP593Et9f4APuKmA+PePfta8ANAJAldsQ1/QkVYKmj/LccNZmsAAXAsq1OsW8UazOtnOgn63wzdg==" workbookSaltValue="a0VledVM+VIczEt9I2d4tg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L35" i="3" l="1"/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D35" i="5"/>
  <c r="J35" i="5"/>
  <c r="L35" i="5"/>
  <c r="O35" i="5"/>
  <c r="Q35" i="5"/>
  <c r="S35" i="5"/>
  <c r="M35" i="3"/>
  <c r="M35" i="5" s="1"/>
  <c r="N35" i="3"/>
  <c r="N35" i="5" s="1"/>
  <c r="O35" i="3"/>
  <c r="P35" i="3"/>
  <c r="P35" i="5" s="1"/>
  <c r="Q35" i="3"/>
  <c r="R35" i="3"/>
  <c r="R35" i="5" s="1"/>
  <c r="L36" i="3"/>
  <c r="L37" i="3" s="1"/>
  <c r="M36" i="3"/>
  <c r="N36" i="3"/>
  <c r="O36" i="3"/>
  <c r="P36" i="3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M37" i="3" l="1"/>
  <c r="N47" i="3"/>
  <c r="P37" i="3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E35" i="3"/>
  <c r="E35" i="5" s="1"/>
  <c r="F35" i="3"/>
  <c r="F35" i="5" s="1"/>
  <c r="G35" i="3"/>
  <c r="G35" i="5" s="1"/>
  <c r="H35" i="3"/>
  <c r="H35" i="5" s="1"/>
  <c r="I35" i="3"/>
  <c r="I35" i="5" s="1"/>
  <c r="J35" i="3"/>
  <c r="K35" i="3"/>
  <c r="K35" i="5" s="1"/>
  <c r="S35" i="3"/>
  <c r="T35" i="3"/>
  <c r="T35" i="5" s="1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<sst xmlns="http://schemas.openxmlformats.org/spreadsheetml/2006/main" count="218" uniqueCount="52">
  <si>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</si>
  <si>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</si>
  <si>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</si>
  <si>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</si>
  <si>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</si>
  <si>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</si>
  <si>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</si>
  <si>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</si>
  <si>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</si>
  <si>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</si>
  <si>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</si>
  <si>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</si>
  <si>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</si>
  <si>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</si>
  <si>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</si>
  <si>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</si>
  <si>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</si>
  <si>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</si>
  <si>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</si>
  <si>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</si>
  <si>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</si>
  <si>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</si>
  <si>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</si>
  <si>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</si>
  <si>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</si>
  <si>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</si>
  <si>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</si>
  <si>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</si>
  <si>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</si>
  <si>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</si>
  <si>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</si>
  <si>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</si>
  <si>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</si>
  <si>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</si>
  <si>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</si>
  <si>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</si>
  <si>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</si>
  <si>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</si>
  <si>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</si>
  <si>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</si>
  <si>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</si>
  <si>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</si>
  <si>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</si>
  <si>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?5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</si>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</sst>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  <xf numFmtId="0" fontId="0" fillId="2" borderId="0" xfId="0" applyFont="1" applyFill="1" applyProtection="1">
      <protection hidden="1"/>
    </xf>
    <xf numFmtId="49" fontId="0" fillId="2" borderId="0" xfId="0" applyNumberForma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5" sqref="G15:G16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10.3828125" style="13" customWidth="1"/>
    <col min="4" max="4" width="13" style="13" bestFit="1" customWidth="1"/>
    <col min="5" max="12" width="10.3828125" style="13" customWidth="1"/>
    <col min="13" max="13" width="11.69140625" style="13" bestFit="1" customWidth="1"/>
    <col min="14" max="20" width="10.3828125" style="13" customWidth="1"/>
    <col min="21" max="21" width="8.53515625" style="13" customWidth="1"/>
    <col min="22" max="23" width="14.53515625" style="13" bestFit="1" customWidth="1"/>
    <col min="24" max="24" width="7.3046875" style="13" bestFit="1" customWidth="1"/>
    <col min="25" max="25" width="12.15234375" style="13" bestFit="1" customWidth="1"/>
    <col min="26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>
        <f>IF(ISBLANK(Master!G3),"",Master!G3)</f>
        <v>1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/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/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?5</v>
      </c>
      <c r="N34" s="13" t="str">
        <f>IF(ISBLANK(Master!N34),"",Master!N34)</f>
        <v>?5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5</v>
      </c>
      <c r="S34" s="13" t="str">
        <f>IF(ISBLANK(Master!S34),"",Master!S34)</f>
        <v/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55" sqref="C55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5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4.53515625" style="3" bestFit="1" customWidth="1"/>
    <col min="14" max="14" width="10.53515625" style="3" bestFit="1" customWidth="1"/>
    <col min="15" max="15" width="9.69140625" style="3" bestFit="1" customWidth="1"/>
    <col min="16" max="16" width="8" style="3" bestFit="1" customWidth="1"/>
    <col min="17" max="17" width="10" style="3" bestFit="1" customWidth="1"/>
    <col min="18" max="18" width="10.69140625" style="3" bestFit="1" customWidth="1"/>
    <col min="19" max="19" width="10.15234375" style="3" bestFit="1" customWidth="1"/>
    <col min="20" max="21" width="10" style="3" bestFit="1" customWidth="1"/>
    <col min="22" max="22" width="16.84375" style="3" bestFit="1" customWidth="1"/>
    <col min="23" max="27" width="20.15234375" style="10" bestFit="1" customWidth="1"/>
    <col min="28" max="28" width="15.84375" style="10" customWidth="1"/>
    <col min="29" max="33" width="7.84375" style="3" customWidth="1"/>
    <col min="34" max="16384" width="8.84375" style="3"/>
  </cols>
  <sheetData>
    <row r="1" spans="1:33" x14ac:dyDescent="0.4">
      <c r="A1" s="14" t="s">
        <v>0</v>
      </c>
      <c r="B1" s="17" t="s">
        <v>1</v>
      </c>
      <c r="C1" s="2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4" t="s">
        <v>38</v>
      </c>
      <c r="T1" s="1" t="s">
        <v>46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4">
      <c r="A2" s="1" t="s">
        <v>6</v>
      </c>
      <c r="B2" s="9">
        <v>1</v>
      </c>
      <c r="C2" s="2"/>
      <c r="D2" s="1"/>
      <c r="E2" s="1" t="s">
        <v>40</v>
      </c>
      <c r="F2" s="1" t="s">
        <v>40</v>
      </c>
      <c r="G2" s="1">
        <v>0</v>
      </c>
      <c r="H2" s="1">
        <v>1</v>
      </c>
      <c r="I2" s="1" t="s">
        <v>40</v>
      </c>
      <c r="J2" s="1"/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4">
      <c r="A3" s="1" t="s">
        <v>7</v>
      </c>
      <c r="B3" s="9">
        <v>2</v>
      </c>
      <c r="C3" s="2"/>
      <c r="D3" s="1"/>
      <c r="E3" s="1" t="s">
        <v>40</v>
      </c>
      <c r="F3" s="1" t="s">
        <v>40</v>
      </c>
      <c r="G3" s="1">
        <v>1</v>
      </c>
      <c r="H3" s="1"/>
      <c r="I3" s="1" t="s">
        <v>40</v>
      </c>
      <c r="J3" s="1"/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/>
      <c r="S3" s="1"/>
      <c r="T3" s="1" t="s">
        <v>40</v>
      </c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4">
      <c r="A4" s="1" t="s">
        <v>8</v>
      </c>
      <c r="B4" s="9">
        <v>3</v>
      </c>
      <c r="C4" s="2"/>
      <c r="D4" s="1"/>
      <c r="E4" s="1" t="s">
        <v>40</v>
      </c>
      <c r="F4" s="1" t="s">
        <v>40</v>
      </c>
      <c r="G4" s="1"/>
      <c r="H4" s="1"/>
      <c r="I4" s="1" t="s">
        <v>40</v>
      </c>
      <c r="J4" s="1"/>
      <c r="K4" s="1" t="s">
        <v>40</v>
      </c>
      <c r="L4" s="1"/>
      <c r="M4" s="1"/>
      <c r="N4" s="1" t="s">
        <v>40</v>
      </c>
      <c r="O4" s="1"/>
      <c r="P4" s="1" t="s">
        <v>40</v>
      </c>
      <c r="Q4" s="1"/>
      <c r="R4" s="1"/>
      <c r="S4" s="1"/>
      <c r="T4" s="1" t="s">
        <v>40</v>
      </c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4">
      <c r="A5" s="1" t="s">
        <v>9</v>
      </c>
      <c r="B5" s="9">
        <v>4</v>
      </c>
      <c r="C5" s="2"/>
      <c r="D5" s="1"/>
      <c r="E5" s="1" t="s">
        <v>40</v>
      </c>
      <c r="F5" s="1" t="s">
        <v>40</v>
      </c>
      <c r="G5" s="1"/>
      <c r="H5" s="1"/>
      <c r="I5" s="1" t="s">
        <v>40</v>
      </c>
      <c r="J5" s="1"/>
      <c r="K5" s="1" t="s">
        <v>40</v>
      </c>
      <c r="L5" s="1" t="s">
        <v>40</v>
      </c>
      <c r="M5" s="1"/>
      <c r="N5" s="1"/>
      <c r="O5" s="1"/>
      <c r="P5" s="1" t="s">
        <v>40</v>
      </c>
      <c r="Q5" s="1"/>
      <c r="R5" s="1"/>
      <c r="S5" s="1"/>
      <c r="T5" s="1" t="s">
        <v>40</v>
      </c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x14ac:dyDescent="0.4">
      <c r="A6" s="1" t="s">
        <v>4</v>
      </c>
      <c r="B6" s="9">
        <v>5</v>
      </c>
      <c r="C6" s="2"/>
      <c r="D6" s="1"/>
      <c r="E6" s="1"/>
      <c r="F6" s="1"/>
      <c r="G6" s="1"/>
      <c r="H6" s="1"/>
      <c r="I6" s="1" t="s">
        <v>40</v>
      </c>
      <c r="J6" s="1"/>
      <c r="K6" s="1" t="s">
        <v>40</v>
      </c>
      <c r="L6" s="1"/>
      <c r="M6" s="1"/>
      <c r="N6" s="1"/>
      <c r="O6" s="1"/>
      <c r="P6" s="1"/>
      <c r="Q6" s="1"/>
      <c r="R6" s="1"/>
      <c r="S6" s="1"/>
      <c r="T6" s="1" t="s">
        <v>40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/>
      </c>
      <c r="AB6" s="1"/>
      <c r="AC6" s="1"/>
      <c r="AD6" s="1"/>
      <c r="AE6" s="1"/>
      <c r="AF6" s="1"/>
      <c r="AG6" s="1"/>
    </row>
    <row r="7" spans="1:33" x14ac:dyDescent="0.4">
      <c r="A7" s="1" t="s">
        <v>10</v>
      </c>
      <c r="B7" s="9">
        <v>6</v>
      </c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 t="s">
        <v>40</v>
      </c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4">
      <c r="A8" s="1" t="s">
        <v>5</v>
      </c>
      <c r="B8" s="9">
        <v>7</v>
      </c>
      <c r="C8" s="2"/>
      <c r="D8" s="1"/>
      <c r="E8" s="1"/>
      <c r="F8" s="1" t="s">
        <v>40</v>
      </c>
      <c r="G8" s="1" t="s">
        <v>40</v>
      </c>
      <c r="H8" s="1"/>
      <c r="I8" s="1"/>
      <c r="J8" s="1"/>
      <c r="K8" s="1" t="s">
        <v>40</v>
      </c>
      <c r="L8" s="1"/>
      <c r="M8" s="1"/>
      <c r="N8" s="1"/>
      <c r="O8" s="1"/>
      <c r="P8" s="1"/>
      <c r="Q8" s="1"/>
      <c r="R8" s="1"/>
      <c r="S8" s="1"/>
      <c r="T8" s="1" t="s">
        <v>40</v>
      </c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4">
      <c r="A9" s="1" t="s">
        <v>6</v>
      </c>
      <c r="B9" s="9">
        <v>8</v>
      </c>
      <c r="C9" s="2"/>
      <c r="D9" s="1"/>
      <c r="E9" s="1"/>
      <c r="F9" s="1" t="s">
        <v>40</v>
      </c>
      <c r="G9" s="1" t="s">
        <v>40</v>
      </c>
      <c r="H9" s="1"/>
      <c r="I9" s="1" t="s">
        <v>40</v>
      </c>
      <c r="J9" s="1"/>
      <c r="K9" s="1" t="s">
        <v>40</v>
      </c>
      <c r="L9" s="1" t="s">
        <v>40</v>
      </c>
      <c r="M9" s="1"/>
      <c r="N9" s="1"/>
      <c r="O9" s="1"/>
      <c r="P9" s="1"/>
      <c r="Q9" s="1"/>
      <c r="R9" s="1"/>
      <c r="S9" s="1"/>
      <c r="T9" s="1" t="s">
        <v>40</v>
      </c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x14ac:dyDescent="0.4">
      <c r="A10" s="1" t="s">
        <v>7</v>
      </c>
      <c r="B10" s="9">
        <v>9</v>
      </c>
      <c r="C10" s="2"/>
      <c r="D10" s="1"/>
      <c r="E10" s="1"/>
      <c r="F10" s="1" t="s">
        <v>40</v>
      </c>
      <c r="G10" s="1" t="s">
        <v>40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/>
      </c>
      <c r="AB10" s="1"/>
      <c r="AC10" s="1"/>
      <c r="AD10" s="1"/>
      <c r="AE10" s="1"/>
      <c r="AF10" s="1"/>
      <c r="AG10" s="1"/>
    </row>
    <row r="11" spans="1:33" x14ac:dyDescent="0.4">
      <c r="A11" s="1" t="s">
        <v>8</v>
      </c>
      <c r="B11" s="9">
        <v>10</v>
      </c>
      <c r="C11" s="2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 t="s">
        <v>40</v>
      </c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/>
      <c r="AC11" s="1"/>
      <c r="AD11" s="1"/>
      <c r="AE11" s="1"/>
      <c r="AF11" s="1"/>
      <c r="AG11" s="1"/>
    </row>
    <row r="12" spans="1:33" x14ac:dyDescent="0.4">
      <c r="A12" s="1" t="s">
        <v>9</v>
      </c>
      <c r="B12" s="9">
        <v>11</v>
      </c>
      <c r="C12" s="2"/>
      <c r="D12" s="1"/>
      <c r="E12" s="1"/>
      <c r="F12" s="1"/>
      <c r="G12" s="1"/>
      <c r="H12" s="1"/>
      <c r="I12" s="1" t="s">
        <v>40</v>
      </c>
      <c r="J12" s="1"/>
      <c r="K12" s="1"/>
      <c r="L12" s="1" t="s">
        <v>40</v>
      </c>
      <c r="M12" s="1"/>
      <c r="N12" s="1"/>
      <c r="O12" s="1"/>
      <c r="P12" s="1"/>
      <c r="Q12" s="1"/>
      <c r="R12" s="1"/>
      <c r="S12" s="1"/>
      <c r="T12" s="1" t="s">
        <v>40</v>
      </c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4">
      <c r="A13" s="1" t="s">
        <v>4</v>
      </c>
      <c r="B13" s="9">
        <v>12</v>
      </c>
      <c r="C13" s="2"/>
      <c r="D13" s="1"/>
      <c r="E13" s="1"/>
      <c r="F13" s="1"/>
      <c r="G13" s="1"/>
      <c r="H13" s="1"/>
      <c r="I13" s="1" t="s">
        <v>40</v>
      </c>
      <c r="J13" s="1"/>
      <c r="K13" s="1" t="s">
        <v>40</v>
      </c>
      <c r="L13" s="1"/>
      <c r="M13" s="1"/>
      <c r="N13" s="1"/>
      <c r="O13" s="1"/>
      <c r="P13" s="1"/>
      <c r="Q13" s="1"/>
      <c r="R13" s="1"/>
      <c r="S13" s="1"/>
      <c r="T13" s="1" t="s">
        <v>40</v>
      </c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4">
      <c r="A14" s="1" t="s">
        <v>10</v>
      </c>
      <c r="B14" s="9">
        <v>13</v>
      </c>
      <c r="C14" s="2"/>
      <c r="D14" s="1"/>
      <c r="E14" s="1"/>
      <c r="F14" s="1"/>
      <c r="G14" s="1"/>
      <c r="H14" s="1"/>
      <c r="I14" s="1" t="s">
        <v>40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 t="s">
        <v>40</v>
      </c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4">
      <c r="A15" s="1" t="s">
        <v>5</v>
      </c>
      <c r="B15" s="9">
        <v>14</v>
      </c>
      <c r="C15" s="2"/>
      <c r="D15" s="1"/>
      <c r="E15" s="1" t="s">
        <v>40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 t="s">
        <v>40</v>
      </c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4">
      <c r="A16" s="1" t="s">
        <v>6</v>
      </c>
      <c r="B16" s="9">
        <v>15</v>
      </c>
      <c r="C16" s="2"/>
      <c r="D16" s="1"/>
      <c r="E16" s="1" t="s">
        <v>40</v>
      </c>
      <c r="F16" s="1"/>
      <c r="G16" s="1"/>
      <c r="H16" s="1"/>
      <c r="I16" s="1"/>
      <c r="J16" s="1"/>
      <c r="K16" s="1" t="s">
        <v>40</v>
      </c>
      <c r="L16" s="1"/>
      <c r="M16" s="1"/>
      <c r="N16" s="1"/>
      <c r="O16" s="1"/>
      <c r="P16" s="1"/>
      <c r="Q16" s="1"/>
      <c r="R16" s="1"/>
      <c r="S16" s="1"/>
      <c r="T16" s="1" t="s">
        <v>40</v>
      </c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4">
      <c r="A17" s="1" t="s">
        <v>7</v>
      </c>
      <c r="B17" s="9">
        <v>16</v>
      </c>
      <c r="C17" s="2"/>
      <c r="D17" s="1"/>
      <c r="E17" s="1" t="s">
        <v>40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4">
      <c r="A18" s="1" t="s">
        <v>8</v>
      </c>
      <c r="B18" s="9">
        <v>17</v>
      </c>
      <c r="C18" s="2"/>
      <c r="D18" s="1"/>
      <c r="E18" s="1" t="s">
        <v>40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 t="s">
        <v>40</v>
      </c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4">
      <c r="A19" s="1" t="s">
        <v>9</v>
      </c>
      <c r="B19" s="9">
        <v>18</v>
      </c>
      <c r="C19" s="2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 t="s">
        <v>40</v>
      </c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4">
      <c r="A20" s="1" t="s">
        <v>4</v>
      </c>
      <c r="B20" s="9">
        <v>19</v>
      </c>
      <c r="C20" s="2"/>
      <c r="D20" s="1"/>
      <c r="E20" s="1"/>
      <c r="F20" s="1"/>
      <c r="G20" s="1"/>
      <c r="H20" s="1"/>
      <c r="I20" s="1"/>
      <c r="J20" s="1"/>
      <c r="K20" s="1" t="s">
        <v>40</v>
      </c>
      <c r="L20" s="1"/>
      <c r="M20" s="1"/>
      <c r="N20" s="1"/>
      <c r="O20" s="1"/>
      <c r="P20" s="1"/>
      <c r="Q20" s="1"/>
      <c r="R20" s="1"/>
      <c r="S20" s="1"/>
      <c r="T20" s="1" t="s">
        <v>40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x14ac:dyDescent="0.4">
      <c r="A21" s="1" t="s">
        <v>10</v>
      </c>
      <c r="B21" s="9">
        <v>20</v>
      </c>
      <c r="C21" s="2"/>
      <c r="D21" s="1"/>
      <c r="E21" s="1"/>
      <c r="F21" s="1"/>
      <c r="G21" s="1"/>
      <c r="H21" s="1" t="s">
        <v>40</v>
      </c>
      <c r="I21" s="1"/>
      <c r="J21" s="1"/>
      <c r="K21" s="1" t="s">
        <v>40</v>
      </c>
      <c r="L21" s="1"/>
      <c r="M21" s="1"/>
      <c r="N21" s="1"/>
      <c r="O21" s="1"/>
      <c r="P21" s="1"/>
      <c r="Q21" s="1"/>
      <c r="R21" s="1" t="s">
        <v>40</v>
      </c>
      <c r="S21" s="1"/>
      <c r="T21" s="1" t="s">
        <v>40</v>
      </c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/>
      </c>
      <c r="AB21" s="1"/>
      <c r="AC21" s="1"/>
      <c r="AD21" s="1"/>
      <c r="AE21" s="1"/>
      <c r="AF21" s="1"/>
      <c r="AG21" s="1"/>
    </row>
    <row r="22" spans="1:33" x14ac:dyDescent="0.4">
      <c r="A22" s="1" t="s">
        <v>5</v>
      </c>
      <c r="B22" s="9">
        <v>21</v>
      </c>
      <c r="C22" s="2"/>
      <c r="D22" s="1"/>
      <c r="E22" s="1" t="s">
        <v>40</v>
      </c>
      <c r="F22" s="1"/>
      <c r="G22" s="1"/>
      <c r="H22" s="1" t="s">
        <v>40</v>
      </c>
      <c r="I22" s="1"/>
      <c r="J22" s="1"/>
      <c r="K22" s="1" t="s">
        <v>40</v>
      </c>
      <c r="L22" s="1" t="s">
        <v>40</v>
      </c>
      <c r="M22" s="1"/>
      <c r="N22" s="1"/>
      <c r="O22" s="1"/>
      <c r="P22" s="1"/>
      <c r="Q22" s="1"/>
      <c r="R22" s="1" t="s">
        <v>40</v>
      </c>
      <c r="S22" s="1"/>
      <c r="T22" s="1" t="s">
        <v>40</v>
      </c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/>
      </c>
      <c r="AB22" s="1"/>
      <c r="AC22" s="1"/>
      <c r="AD22" s="1"/>
      <c r="AE22" s="1"/>
      <c r="AF22" s="1"/>
      <c r="AG22" s="1"/>
    </row>
    <row r="23" spans="1:33" x14ac:dyDescent="0.4">
      <c r="A23" s="1" t="s">
        <v>6</v>
      </c>
      <c r="B23" s="9">
        <v>22</v>
      </c>
      <c r="C23" s="2"/>
      <c r="D23" s="1"/>
      <c r="E23" s="1" t="s">
        <v>40</v>
      </c>
      <c r="F23" s="1"/>
      <c r="G23" s="1"/>
      <c r="H23" s="1"/>
      <c r="I23" s="1"/>
      <c r="J23" s="1"/>
      <c r="K23" s="1" t="s">
        <v>40</v>
      </c>
      <c r="L23" s="1" t="s">
        <v>40</v>
      </c>
      <c r="M23" s="1"/>
      <c r="N23" s="1"/>
      <c r="O23" s="1"/>
      <c r="P23" s="1"/>
      <c r="Q23" s="1"/>
      <c r="R23" s="1" t="s">
        <v>40</v>
      </c>
      <c r="S23" s="1"/>
      <c r="T23" s="1" t="s">
        <v>40</v>
      </c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4">
      <c r="A24" s="1" t="s">
        <v>7</v>
      </c>
      <c r="B24" s="9">
        <v>23</v>
      </c>
      <c r="C24" s="2"/>
      <c r="D24" s="1"/>
      <c r="E24" s="1" t="s">
        <v>40</v>
      </c>
      <c r="F24" s="1"/>
      <c r="G24" s="1"/>
      <c r="H24" s="1"/>
      <c r="I24" s="1"/>
      <c r="J24" s="1"/>
      <c r="K24" s="1" t="s">
        <v>40</v>
      </c>
      <c r="L24" s="1"/>
      <c r="M24" s="1"/>
      <c r="N24" s="1"/>
      <c r="O24" s="1"/>
      <c r="P24" s="1"/>
      <c r="Q24" s="1"/>
      <c r="R24" s="1" t="s">
        <v>40</v>
      </c>
      <c r="S24" s="1"/>
      <c r="T24" s="1" t="s">
        <v>40</v>
      </c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ht="15" customHeight="1" x14ac:dyDescent="0.4">
      <c r="A25" s="1" t="s">
        <v>8</v>
      </c>
      <c r="B25" s="9">
        <v>24</v>
      </c>
      <c r="C25" s="2"/>
      <c r="D25" s="1"/>
      <c r="E25" s="1" t="s">
        <v>40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 t="s">
        <v>40</v>
      </c>
      <c r="S25" s="1"/>
      <c r="T25" s="1" t="s">
        <v>40</v>
      </c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/>
      <c r="AC25" s="1"/>
      <c r="AD25" s="1"/>
      <c r="AE25" s="1"/>
      <c r="AF25" s="1"/>
      <c r="AG25" s="1"/>
    </row>
    <row r="26" spans="1:33" x14ac:dyDescent="0.4">
      <c r="A26" s="1" t="s">
        <v>9</v>
      </c>
      <c r="B26" s="9">
        <v>25</v>
      </c>
      <c r="C26" s="2"/>
      <c r="D26" s="1"/>
      <c r="E26" s="1"/>
      <c r="F26" s="1"/>
      <c r="G26" s="1"/>
      <c r="H26" s="1"/>
      <c r="I26" s="1"/>
      <c r="J26" s="1"/>
      <c r="K26" s="1"/>
      <c r="L26" s="1"/>
      <c r="M26" s="1" t="s">
        <v>40</v>
      </c>
      <c r="N26" s="1"/>
      <c r="O26" s="1"/>
      <c r="P26" s="1"/>
      <c r="Q26" s="1"/>
      <c r="R26" s="1"/>
      <c r="S26" s="1"/>
      <c r="T26" s="1" t="s">
        <v>40</v>
      </c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/>
      <c r="AC26" s="1"/>
      <c r="AD26" s="1"/>
      <c r="AE26" s="1"/>
      <c r="AF26" s="1"/>
      <c r="AG26" s="1"/>
    </row>
    <row r="27" spans="1:33" x14ac:dyDescent="0.4">
      <c r="A27" s="1" t="s">
        <v>4</v>
      </c>
      <c r="B27" s="9">
        <v>26</v>
      </c>
      <c r="C27" s="2"/>
      <c r="D27" s="1"/>
      <c r="E27" s="1"/>
      <c r="F27" s="1"/>
      <c r="G27" s="1"/>
      <c r="H27" s="1"/>
      <c r="I27" s="1"/>
      <c r="J27" s="1"/>
      <c r="K27" s="1" t="s">
        <v>40</v>
      </c>
      <c r="L27" s="1"/>
      <c r="M27" s="1" t="s">
        <v>40</v>
      </c>
      <c r="N27" s="1"/>
      <c r="O27" s="1"/>
      <c r="P27" s="1"/>
      <c r="Q27" s="1"/>
      <c r="R27" s="1"/>
      <c r="S27" s="1"/>
      <c r="T27" s="1" t="s">
        <v>40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4">
      <c r="A28" s="1" t="s">
        <v>10</v>
      </c>
      <c r="B28" s="9">
        <v>27</v>
      </c>
      <c r="C28" s="2"/>
      <c r="D28" s="1"/>
      <c r="E28" s="1"/>
      <c r="F28" s="1"/>
      <c r="G28" s="1"/>
      <c r="H28" s="1" t="s">
        <v>40</v>
      </c>
      <c r="I28" s="1"/>
      <c r="J28" s="1"/>
      <c r="K28" s="1" t="s">
        <v>40</v>
      </c>
      <c r="L28" s="1"/>
      <c r="M28" s="1" t="s">
        <v>40</v>
      </c>
      <c r="N28" s="1"/>
      <c r="O28" s="1"/>
      <c r="P28" s="1" t="s">
        <v>40</v>
      </c>
      <c r="Q28" s="1"/>
      <c r="R28" s="1"/>
      <c r="S28" s="1"/>
      <c r="T28" s="1" t="s">
        <v>40</v>
      </c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4">
      <c r="A29" s="1" t="s">
        <v>5</v>
      </c>
      <c r="B29" s="9">
        <v>28</v>
      </c>
      <c r="C29" s="2"/>
      <c r="D29" s="1"/>
      <c r="E29" s="1" t="s">
        <v>40</v>
      </c>
      <c r="F29" s="1"/>
      <c r="G29" s="1"/>
      <c r="H29" s="1" t="s">
        <v>40</v>
      </c>
      <c r="I29" s="1"/>
      <c r="J29" s="1"/>
      <c r="K29" s="1" t="s">
        <v>40</v>
      </c>
      <c r="L29" s="1" t="s">
        <v>40</v>
      </c>
      <c r="M29" s="1"/>
      <c r="N29" s="1"/>
      <c r="O29" s="1"/>
      <c r="P29" s="1" t="s">
        <v>40</v>
      </c>
      <c r="Q29" s="1"/>
      <c r="R29" s="1" t="s">
        <v>40</v>
      </c>
      <c r="S29" s="1"/>
      <c r="T29" s="1" t="s">
        <v>40</v>
      </c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4">
      <c r="A30" s="1" t="s">
        <v>6</v>
      </c>
      <c r="B30" s="9">
        <v>29</v>
      </c>
      <c r="C30" s="2"/>
      <c r="D30" s="1"/>
      <c r="E30" s="1" t="s">
        <v>40</v>
      </c>
      <c r="F30" s="1"/>
      <c r="G30" s="1"/>
      <c r="H30" s="1" t="s">
        <v>40</v>
      </c>
      <c r="I30" s="1"/>
      <c r="J30" s="1"/>
      <c r="K30" s="1" t="s">
        <v>40</v>
      </c>
      <c r="L30" s="1" t="s">
        <v>40</v>
      </c>
      <c r="M30" s="1"/>
      <c r="N30" s="1"/>
      <c r="O30" s="1"/>
      <c r="P30" s="1" t="s">
        <v>40</v>
      </c>
      <c r="Q30" s="1"/>
      <c r="R30" s="1" t="s">
        <v>40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x14ac:dyDescent="0.4">
      <c r="A31" s="1" t="s">
        <v>7</v>
      </c>
      <c r="B31" s="9">
        <v>30</v>
      </c>
      <c r="C31" s="2"/>
      <c r="D31" s="1"/>
      <c r="E31" s="1" t="s">
        <v>40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 t="s">
        <v>40</v>
      </c>
      <c r="Q31" s="1"/>
      <c r="R31" s="1" t="s">
        <v>40</v>
      </c>
      <c r="S31" s="1"/>
      <c r="T31" s="1" t="s">
        <v>40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/>
      <c r="AC31" s="1"/>
      <c r="AD31" s="1"/>
      <c r="AE31" s="1"/>
      <c r="AF31" s="1"/>
      <c r="AG31" s="1"/>
    </row>
    <row r="32" spans="1:33" x14ac:dyDescent="0.4">
      <c r="A32" s="1" t="s">
        <v>8</v>
      </c>
      <c r="B32" s="9">
        <v>31</v>
      </c>
      <c r="C32" s="2"/>
      <c r="D32" s="1"/>
      <c r="E32" s="1" t="s">
        <v>40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 t="s">
        <v>40</v>
      </c>
      <c r="S32" s="1"/>
      <c r="T32" s="1" t="s">
        <v>40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4">
      <c r="B33" s="18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18"/>
      <c r="C34" s="22" t="s">
        <v>45</v>
      </c>
      <c r="D34" s="7"/>
      <c r="E34" s="7" t="s">
        <v>45</v>
      </c>
      <c r="F34" s="7" t="s">
        <v>45</v>
      </c>
      <c r="G34" s="7" t="s">
        <v>39</v>
      </c>
      <c r="H34" s="7" t="s">
        <v>42</v>
      </c>
      <c r="I34" s="7" t="s">
        <v>39</v>
      </c>
      <c r="J34" s="7"/>
      <c r="K34" s="7" t="s">
        <v>39</v>
      </c>
      <c r="L34" s="7" t="s">
        <v>47</v>
      </c>
      <c r="M34" s="7" t="s">
        <v>43</v>
      </c>
      <c r="N34" s="7" t="s">
        <v>43</v>
      </c>
      <c r="O34" s="7" t="s">
        <v>39</v>
      </c>
      <c r="P34" s="7" t="s">
        <v>39</v>
      </c>
      <c r="Q34" s="7" t="s">
        <v>42</v>
      </c>
      <c r="R34" s="7" t="s">
        <v>39</v>
      </c>
      <c r="S34" s="7"/>
      <c r="T34" s="7" t="s">
        <v>50</v>
      </c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4">
      <c r="A35" s="1" t="s">
        <v>12</v>
      </c>
      <c r="B35" s="7"/>
      <c r="C35" s="2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R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4">
      <c r="A36" s="1" t="s">
        <v>28</v>
      </c>
      <c r="B36" s="9"/>
      <c r="C36" s="19">
        <f>INT(RIGHT(C34))</f>
        <v>3</v>
      </c>
      <c r="D36" s="9" t="e">
        <f t="shared" ref="D36:T36" si="7">INT(RIGHT(D34))</f>
        <v>#VALUE!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9">
        <f t="shared" si="7"/>
        <v>5</v>
      </c>
      <c r="J36" s="9" t="e">
        <f t="shared" si="7"/>
        <v>#VALUE!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5</v>
      </c>
      <c r="S36" s="9" t="e">
        <f t="shared" si="7"/>
        <v>#VALUE!</v>
      </c>
      <c r="T36" s="9">
        <f t="shared" si="7"/>
        <v>0</v>
      </c>
      <c r="U36" s="3" t="e">
        <f>SUM(D36:T36)</f>
        <v>#VALUE!</v>
      </c>
    </row>
    <row r="37" spans="1:33" x14ac:dyDescent="0.4">
      <c r="A37" s="1" t="s">
        <v>30</v>
      </c>
      <c r="B37" s="9"/>
      <c r="C37" s="19">
        <f t="shared" ref="C37:T37" si="9">C36-C35</f>
        <v>3</v>
      </c>
      <c r="D37" s="9" t="e">
        <f t="shared" si="9"/>
        <v>#VALUE!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4</v>
      </c>
      <c r="I37" s="9">
        <f t="shared" si="9"/>
        <v>5</v>
      </c>
      <c r="J37" s="9" t="e">
        <f t="shared" si="9"/>
        <v>#VALUE!</v>
      </c>
      <c r="K37" s="9">
        <f t="shared" si="9"/>
        <v>5</v>
      </c>
      <c r="L37" s="9">
        <f t="shared" ref="L37:R37" si="10">L36-L35</f>
        <v>4</v>
      </c>
      <c r="M37" s="9">
        <f t="shared" si="10"/>
        <v>5</v>
      </c>
      <c r="N37" s="9">
        <f t="shared" si="10"/>
        <v>5</v>
      </c>
      <c r="O37" s="9">
        <f t="shared" si="10"/>
        <v>5</v>
      </c>
      <c r="P37" s="9">
        <f t="shared" si="10"/>
        <v>5</v>
      </c>
      <c r="Q37" s="9">
        <f t="shared" si="10"/>
        <v>4</v>
      </c>
      <c r="R37" s="9">
        <f t="shared" si="10"/>
        <v>5</v>
      </c>
      <c r="S37" s="9" t="e">
        <f t="shared" si="9"/>
        <v>#VALUE!</v>
      </c>
      <c r="T37" s="9">
        <f t="shared" si="9"/>
        <v>0</v>
      </c>
    </row>
    <row r="38" spans="1:33" x14ac:dyDescent="0.4">
      <c r="A38" s="1" t="s">
        <v>29</v>
      </c>
      <c r="B38" s="9"/>
      <c r="C38" s="1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3">
        <f>SUM($AC$34:$AG$34)</f>
        <v>0</v>
      </c>
    </row>
    <row r="39" spans="1:33" x14ac:dyDescent="0.4">
      <c r="A39" s="1" t="s">
        <v>2</v>
      </c>
      <c r="B39" s="9"/>
      <c r="C39" s="1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4">
      <c r="A40" s="1" t="s">
        <v>22</v>
      </c>
      <c r="B40" s="9"/>
      <c r="C40" s="1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1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1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1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4">
      <c r="A44" s="1" t="s">
        <v>5</v>
      </c>
      <c r="C44" s="2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4">
      <c r="A45" s="1" t="s">
        <v>6</v>
      </c>
      <c r="C45" s="2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4">
      <c r="A46" s="1" t="s">
        <v>7</v>
      </c>
      <c r="C46" s="2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4">
      <c r="A47" s="1" t="s">
        <v>25</v>
      </c>
      <c r="C47" s="2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23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0.21428571428571427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0.21428571428571427</v>
      </c>
      <c r="J48" s="11">
        <f>SUMPRODUCT(COUNTIFS($A$2:$A$32,{"Fri";"Sat";"Sun"},J$2:J$32,"x"))/$B48</f>
        <v>0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0</v>
      </c>
      <c r="R48" s="11">
        <f>SUMPRODUCT(COUNTIFS($A$2:$A$32,{"Fri";"Sat";"Sun"},R$2:R$32,"x"))/$B48</f>
        <v>0.42857142857142855</v>
      </c>
      <c r="S48" s="11">
        <f>SUMPRODUCT(COUNTIFS($A$2:$A$32,{"Fri";"Sat";"Sun"},S$2:S$32,"x"))/$B48</f>
        <v>0</v>
      </c>
      <c r="T48" s="11">
        <f>SUMPRODUCT(COUNTIFS($A$2:$A$32,{"Fri";"Sat";"Sun"},T$2:T$32,"x"))/$B48</f>
        <v>1</v>
      </c>
    </row>
    <row r="49" spans="1:28" x14ac:dyDescent="0.4">
      <c r="A49" s="3" t="s">
        <v>27</v>
      </c>
      <c r="B49" s="1">
        <f>SUMPRODUCT(COUNTIF(A2:A32,{"Mon";"Tue";"Wed";"Thu";"Fri";"Sat";"Sun"}))</f>
        <v>31</v>
      </c>
      <c r="C49" s="23">
        <f t="shared" ref="C49:T49" si="21">COUNTIF(C$2:C$32,"x")/$B49</f>
        <v>0</v>
      </c>
      <c r="D49" s="11">
        <f t="shared" si="21"/>
        <v>0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9.6774193548387094E-2</v>
      </c>
      <c r="H49" s="11">
        <f t="shared" si="21"/>
        <v>0.16129032258064516</v>
      </c>
      <c r="I49" s="11">
        <f t="shared" si="21"/>
        <v>0.29032258064516131</v>
      </c>
      <c r="J49" s="11">
        <f t="shared" si="21"/>
        <v>0</v>
      </c>
      <c r="K49" s="11">
        <f t="shared" si="21"/>
        <v>0.58064516129032262</v>
      </c>
      <c r="L49" s="11">
        <f t="shared" si="21"/>
        <v>0.22580645161290322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</v>
      </c>
      <c r="R49" s="11">
        <f t="shared" si="21"/>
        <v>0.29032258064516131</v>
      </c>
      <c r="S49" s="11">
        <f t="shared" si="21"/>
        <v>0</v>
      </c>
      <c r="T49" s="11">
        <f t="shared" si="21"/>
        <v>1</v>
      </c>
    </row>
    <row r="50" spans="1:28" x14ac:dyDescent="0.4">
      <c r="A50" s="3"/>
      <c r="B50" s="12"/>
      <c r="C50" s="21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8" x14ac:dyDescent="0.4">
      <c r="A51" s="12"/>
      <c r="B51" s="12"/>
      <c r="C51" s="5" t="s">
        <v>49</v>
      </c>
      <c r="D51" s="12"/>
      <c r="E51" s="12"/>
      <c r="F51" s="12"/>
      <c r="G51" s="12"/>
      <c r="H51" s="12"/>
      <c r="I51" s="12"/>
      <c r="J51" s="12"/>
      <c r="K51" s="12"/>
      <c r="L51" s="12" t="s">
        <v>48</v>
      </c>
      <c r="M51" s="12"/>
      <c r="N51" s="12" t="s">
        <v>44</v>
      </c>
      <c r="O51" s="12" t="s">
        <v>44</v>
      </c>
      <c r="P51" s="12"/>
      <c r="Q51" s="12"/>
      <c r="R51" s="12" t="s">
        <v>44</v>
      </c>
      <c r="S51" s="12"/>
      <c r="T51" s="12"/>
    </row>
    <row r="52" spans="1:28" x14ac:dyDescent="0.4">
      <c r="A52" s="12"/>
      <c r="B52" s="12"/>
      <c r="C52" s="21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28" x14ac:dyDescent="0.4">
      <c r="A53" s="12"/>
      <c r="B53" s="12"/>
      <c r="C53" s="21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8" x14ac:dyDescent="0.4">
      <c r="C54" s="21" t="s">
        <v>41</v>
      </c>
    </row>
    <row r="55" spans="1:28" s="5" customFormat="1" x14ac:dyDescent="0.4">
      <c r="A55" s="2"/>
      <c r="B55" s="2"/>
      <c r="C55" s="5" t="s">
        <v>51</v>
      </c>
      <c r="W55" s="25"/>
      <c r="X55" s="25"/>
      <c r="Y55" s="25"/>
      <c r="Z55" s="25"/>
      <c r="AA55" s="25"/>
      <c r="AB55" s="25"/>
    </row>
    <row r="57" spans="1:28" x14ac:dyDescent="0.4">
      <c r="C57" s="26"/>
    </row>
  </sheetData>
  <conditionalFormatting sqref="I8:R8 C4:C30 S2:S22 D23:S30 D4:R7 D8:G8 D9:R22 C31:S32 T2:T33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4:C30 S2:T22 D23:T30 D4:R22 C32:S32 C31:T31 C2:R3 T4:T3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D23:S30 D4:R7 D8:G8 D9:R22 C31:S32 T2:T33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2017-06-06T21:17:40Z</dcterms:modified>
</cp:coreProperties>
</file>