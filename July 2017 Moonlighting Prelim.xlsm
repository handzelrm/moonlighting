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EyTjCqyjbPZm+Mj1vH0YkomYj6RDqrfRzTJahzxbRGcQEghIURWJLNRICHagR83qQRdMvs9RmNFmS+/82/8PoQ==" workbookSaltValue="DCpoRYsEPjFC0yE9KlwhSQ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1" i="5" l="1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<sst xmlns="http://schemas.openxmlformats.org/spreadsheetml/2006/main" count="459" uniqueCount="70">
  <si>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</si>
  <si>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</si>
  <si>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</si>
  <si>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</si>
  <si>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</si>
  <si>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</si>
  <si>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</si>
  <si>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</si>
  <si>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</si>
  <si>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</si>
  <si>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</si>
  <si>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</si>
  <si>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</si>
  <si>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</si>
  <si>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</si>
  <si>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</si>
  <si>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</si>
  <si>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</si>
  <si>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</si>
  <si>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</si>
  <si>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</si>
  <si>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</si>
  <si>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</si>
  <si>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</si>
  <si>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</si>
  <si>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</si>
  <si>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</si>
  <si>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</si>
  <si>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</si>
  <si>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</si>
  <si>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</si>
  <si>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</si>
  <si>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</si>
  <si>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</si>
  <si>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</si>
  <si>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</si>
  <si>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</si>
  <si>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</si>
  <si>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</si>
  <si>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</si>
  <si>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</si>
  <si>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</si>
  <si>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</si>
  <si>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</si>
  <si>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</si>
  <si>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</si>
  <si>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</si>
  <si>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</si>
  <si>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</si>
  <si>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</si>
  <si>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</si>
  <si>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</si>
  <si>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</si>
  <si>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</si>
  <si>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NEAL</t>
  </si>
  <si>
    <t>SCHUCHERT</t>
  </si>
  <si>
    <t>WATSON</t>
  </si>
  <si>
    <t>SPERRY</t>
  </si>
  <si>
    <t>FORSYTHE</t>
  </si>
  <si>
    <t>BAUZA</t>
  </si>
  <si>
    <t>PUYANA</t>
  </si>
  <si>
    <t>ALARCON</t>
  </si>
  <si>
    <t>Non-CT Req</t>
  </si>
  <si>
    <t>All Serv Req</t>
  </si>
  <si>
    <t>Max Res Req</t>
  </si>
  <si>
    <t>jr trauma</t>
  </si>
  <si>
    <t>jr trauma wkend</t>
  </si>
  <si>
    <t>Trauma Jr.</t>
  </si>
  <si>
    <t>? Trauma Jr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</si>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</sst>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2" borderId="0" xfId="0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9" sqref="R29:R32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>CT</v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Yecies</v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>? Trauma Jr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>? Trauma Jr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Kulkarni</v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Okolo</v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>? Trauma Jr</v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CHP Sr.</v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Trauma</v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Huckaby</v>
      </c>
      <c r="W26" s="13" t="str">
        <f>IF(ISBLANK(Master!X26),"",Master!X26)</f>
        <v>Kulkarni</v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CHP Sr.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Hill (Kirk)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39" sqref="I39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8" width="10" style="3" bestFit="1" customWidth="1"/>
    <col min="9" max="9" width="10" style="5" bestFit="1" customWidth="1"/>
    <col min="10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1.28515625" style="3" bestFit="1" customWidth="1"/>
    <col min="23" max="27" width="16.85546875" style="10" bestFit="1" customWidth="1"/>
    <col min="28" max="28" width="8.140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2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0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2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5"/>
      <c r="AJ2" s="26"/>
      <c r="AK2" s="27"/>
    </row>
    <row r="3" spans="1:37" x14ac:dyDescent="0.25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2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/>
      <c r="AC3" s="1"/>
      <c r="AD3" s="1" t="s">
        <v>40</v>
      </c>
      <c r="AE3" s="1"/>
      <c r="AF3" s="1"/>
      <c r="AG3" s="1" t="s">
        <v>40</v>
      </c>
      <c r="AI3" s="25"/>
      <c r="AJ3" s="28"/>
      <c r="AK3" s="27"/>
    </row>
    <row r="4" spans="1:37" x14ac:dyDescent="0.25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2" t="s">
        <v>40</v>
      </c>
      <c r="J4" s="1" t="s">
        <v>40</v>
      </c>
      <c r="K4" s="1" t="s">
        <v>40</v>
      </c>
      <c r="L4" s="1" t="s">
        <v>23</v>
      </c>
      <c r="M4" s="1"/>
      <c r="N4" s="1" t="s">
        <v>40</v>
      </c>
      <c r="O4" s="1"/>
      <c r="P4" s="1" t="s">
        <v>40</v>
      </c>
      <c r="Q4" s="1"/>
      <c r="R4" s="1"/>
      <c r="S4" s="1" t="s">
        <v>3</v>
      </c>
      <c r="T4" s="1" t="s">
        <v>40</v>
      </c>
      <c r="V4" s="3" t="s">
        <v>54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Yecies</v>
      </c>
      <c r="AB4" s="1"/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5"/>
      <c r="AJ4" s="29"/>
      <c r="AK4" s="27"/>
    </row>
    <row r="5" spans="1:37" x14ac:dyDescent="0.25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2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1"/>
      <c r="T5" s="1" t="s">
        <v>40</v>
      </c>
      <c r="V5" s="3" t="s">
        <v>55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/>
      <c r="AC5" s="1" t="s">
        <v>40</v>
      </c>
      <c r="AD5" s="1" t="s">
        <v>40</v>
      </c>
      <c r="AE5" s="1"/>
      <c r="AF5" s="1"/>
      <c r="AG5" s="1" t="s">
        <v>40</v>
      </c>
      <c r="AI5" s="25"/>
      <c r="AJ5" s="29"/>
      <c r="AK5" s="27"/>
    </row>
    <row r="6" spans="1:37" x14ac:dyDescent="0.25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2" t="s">
        <v>40</v>
      </c>
      <c r="J6" s="1" t="s">
        <v>23</v>
      </c>
      <c r="K6" s="1" t="s">
        <v>40</v>
      </c>
      <c r="L6" s="1"/>
      <c r="M6" s="1"/>
      <c r="N6" s="1" t="s">
        <v>68</v>
      </c>
      <c r="O6" s="1"/>
      <c r="P6" s="1"/>
      <c r="Q6" s="1"/>
      <c r="R6" s="1"/>
      <c r="S6" s="1"/>
      <c r="T6" s="1" t="s">
        <v>40</v>
      </c>
      <c r="U6" s="3" t="s">
        <v>67</v>
      </c>
      <c r="V6" s="3" t="s">
        <v>56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/>
      <c r="AC6" s="1" t="s">
        <v>40</v>
      </c>
      <c r="AD6" s="1" t="s">
        <v>40</v>
      </c>
      <c r="AE6" s="1"/>
      <c r="AF6" s="1"/>
      <c r="AG6" s="1" t="s">
        <v>40</v>
      </c>
      <c r="AI6" s="25"/>
      <c r="AJ6" s="26"/>
      <c r="AK6" s="27"/>
    </row>
    <row r="7" spans="1:37" x14ac:dyDescent="0.25">
      <c r="A7" s="1" t="s">
        <v>10</v>
      </c>
      <c r="B7" s="9">
        <v>6</v>
      </c>
      <c r="C7" s="1"/>
      <c r="D7" s="1"/>
      <c r="E7" s="1"/>
      <c r="F7" s="1"/>
      <c r="G7" s="1"/>
      <c r="H7" s="1"/>
      <c r="I7" s="2" t="s">
        <v>23</v>
      </c>
      <c r="J7" s="1"/>
      <c r="K7" s="1" t="s">
        <v>40</v>
      </c>
      <c r="L7" s="1"/>
      <c r="M7" s="1"/>
      <c r="N7" s="1"/>
      <c r="O7" s="1"/>
      <c r="P7" s="1" t="s">
        <v>3</v>
      </c>
      <c r="Q7" s="1"/>
      <c r="R7" s="1" t="s">
        <v>68</v>
      </c>
      <c r="S7" s="1"/>
      <c r="T7" s="1" t="s">
        <v>40</v>
      </c>
      <c r="U7" s="3" t="s">
        <v>67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/>
      </c>
      <c r="AA7" s="1" t="str">
        <f t="shared" si="4"/>
        <v>Kulkarni</v>
      </c>
      <c r="AB7" s="1"/>
      <c r="AC7" s="1"/>
      <c r="AD7" s="1" t="s">
        <v>40</v>
      </c>
      <c r="AE7" s="1"/>
      <c r="AF7" s="1"/>
      <c r="AG7" s="1" t="s">
        <v>40</v>
      </c>
      <c r="AI7" s="25"/>
      <c r="AJ7" s="28"/>
      <c r="AK7" s="27"/>
    </row>
    <row r="8" spans="1:37" x14ac:dyDescent="0.25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2"/>
      <c r="J8" s="1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1"/>
      <c r="T8" s="1" t="s">
        <v>40</v>
      </c>
      <c r="V8" s="3" t="s">
        <v>57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5"/>
      <c r="AJ8" s="29"/>
      <c r="AK8" s="27"/>
    </row>
    <row r="9" spans="1:37" x14ac:dyDescent="0.25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2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V9" s="3" t="s">
        <v>58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5"/>
      <c r="AJ9" s="29"/>
      <c r="AK9" s="27"/>
    </row>
    <row r="10" spans="1:37" x14ac:dyDescent="0.25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2"/>
      <c r="J10" s="1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/>
      <c r="AC10" s="1"/>
      <c r="AD10" s="1" t="s">
        <v>40</v>
      </c>
      <c r="AE10" s="1" t="s">
        <v>40</v>
      </c>
      <c r="AF10" s="1"/>
      <c r="AG10" s="1" t="s">
        <v>40</v>
      </c>
      <c r="AI10" s="25"/>
      <c r="AJ10" s="29"/>
      <c r="AK10" s="27"/>
    </row>
    <row r="11" spans="1:37" x14ac:dyDescent="0.25">
      <c r="A11" s="1" t="s">
        <v>8</v>
      </c>
      <c r="B11" s="9">
        <v>10</v>
      </c>
      <c r="C11" s="1"/>
      <c r="D11" s="1"/>
      <c r="E11" s="1"/>
      <c r="F11" s="1"/>
      <c r="G11" s="1" t="s">
        <v>40</v>
      </c>
      <c r="H11" s="1" t="s">
        <v>23</v>
      </c>
      <c r="I11" s="2" t="s">
        <v>3</v>
      </c>
      <c r="J11" s="1"/>
      <c r="K11" s="1"/>
      <c r="L11" s="1"/>
      <c r="M11" s="1"/>
      <c r="N11" s="1"/>
      <c r="O11" s="1"/>
      <c r="P11" s="1"/>
      <c r="Q11" s="1"/>
      <c r="R11" s="1" t="s">
        <v>2</v>
      </c>
      <c r="S11" s="1"/>
      <c r="T11" s="1" t="s">
        <v>40</v>
      </c>
      <c r="V11" s="3" t="s">
        <v>59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/>
      </c>
      <c r="AA11" s="1" t="str">
        <f t="shared" si="4"/>
        <v>Okolo</v>
      </c>
      <c r="AB11" s="1"/>
      <c r="AC11" s="1" t="s">
        <v>40</v>
      </c>
      <c r="AD11" s="1" t="s">
        <v>40</v>
      </c>
      <c r="AE11" s="1"/>
      <c r="AF11" s="1"/>
      <c r="AG11" s="1" t="s">
        <v>40</v>
      </c>
      <c r="AI11" s="25"/>
      <c r="AJ11" s="28"/>
      <c r="AK11" s="27"/>
    </row>
    <row r="12" spans="1:37" x14ac:dyDescent="0.25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2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1"/>
      <c r="T12" s="1" t="s">
        <v>40</v>
      </c>
      <c r="V12" s="3" t="s">
        <v>57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/>
      <c r="AC12" s="1" t="s">
        <v>40</v>
      </c>
      <c r="AD12" s="1" t="s">
        <v>40</v>
      </c>
      <c r="AE12" s="1"/>
      <c r="AF12" s="1"/>
      <c r="AG12" s="1" t="s">
        <v>40</v>
      </c>
      <c r="AI12" s="25"/>
      <c r="AJ12" s="29"/>
      <c r="AK12" s="27"/>
    </row>
    <row r="13" spans="1:37" x14ac:dyDescent="0.25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2" t="s">
        <v>40</v>
      </c>
      <c r="J13" s="1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/>
      <c r="AC13" s="1"/>
      <c r="AD13" s="1" t="s">
        <v>40</v>
      </c>
      <c r="AE13" s="1" t="s">
        <v>40</v>
      </c>
      <c r="AF13" s="1"/>
      <c r="AG13" s="1" t="s">
        <v>40</v>
      </c>
      <c r="AI13" s="25"/>
      <c r="AJ13" s="29"/>
      <c r="AK13" s="27"/>
    </row>
    <row r="14" spans="1:37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2" t="s">
        <v>40</v>
      </c>
      <c r="J14" s="1"/>
      <c r="K14" s="1" t="s">
        <v>21</v>
      </c>
      <c r="L14" s="1" t="s">
        <v>3</v>
      </c>
      <c r="M14" s="1"/>
      <c r="N14" s="1"/>
      <c r="O14" s="1" t="s">
        <v>68</v>
      </c>
      <c r="P14" s="1"/>
      <c r="Q14" s="1"/>
      <c r="R14" s="1" t="s">
        <v>23</v>
      </c>
      <c r="S14" s="1"/>
      <c r="T14" s="1" t="s">
        <v>40</v>
      </c>
      <c r="U14" s="3" t="s">
        <v>67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/>
      <c r="AC14" s="1"/>
      <c r="AD14" s="1" t="s">
        <v>40</v>
      </c>
      <c r="AE14" s="1"/>
      <c r="AF14" s="1" t="s">
        <v>40</v>
      </c>
      <c r="AG14" s="1" t="s">
        <v>40</v>
      </c>
      <c r="AI14" s="29"/>
      <c r="AJ14" s="26"/>
      <c r="AK14" s="27"/>
    </row>
    <row r="15" spans="1:37" x14ac:dyDescent="0.25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2"/>
      <c r="J15" s="1"/>
      <c r="K15" s="1"/>
      <c r="L15" s="1"/>
      <c r="M15" s="1"/>
      <c r="N15" s="1" t="s">
        <v>2</v>
      </c>
      <c r="O15" s="1"/>
      <c r="P15" s="1"/>
      <c r="Q15" s="1"/>
      <c r="R15" s="1"/>
      <c r="S15" s="1"/>
      <c r="T15" s="1" t="s">
        <v>40</v>
      </c>
      <c r="V15" s="3" t="s">
        <v>59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5"/>
      <c r="AJ15" s="29"/>
      <c r="AK15" s="27"/>
    </row>
    <row r="16" spans="1:37" x14ac:dyDescent="0.25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1"/>
      <c r="H16" s="1"/>
      <c r="I16" s="2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V16" s="3" t="s">
        <v>60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5"/>
      <c r="AJ16" s="28"/>
      <c r="AK16" s="27"/>
    </row>
    <row r="17" spans="1:37" x14ac:dyDescent="0.25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2" t="s">
        <v>40</v>
      </c>
      <c r="J17" s="1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5"/>
      <c r="AJ17" s="26"/>
      <c r="AK17" s="27"/>
    </row>
    <row r="18" spans="1:37" x14ac:dyDescent="0.25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2" t="s">
        <v>2</v>
      </c>
      <c r="J18" s="1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1"/>
      <c r="T18" s="1" t="s">
        <v>40</v>
      </c>
      <c r="V18" s="3" t="s">
        <v>58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/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5"/>
      <c r="AJ18" s="29"/>
      <c r="AK18" s="27"/>
    </row>
    <row r="19" spans="1:37" x14ac:dyDescent="0.25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2"/>
      <c r="J19" s="1"/>
      <c r="K19" s="1"/>
      <c r="L19" s="1"/>
      <c r="M19" s="1"/>
      <c r="N19" s="1" t="s">
        <v>23</v>
      </c>
      <c r="O19" s="1"/>
      <c r="P19" s="1"/>
      <c r="Q19" s="1"/>
      <c r="R19" s="1"/>
      <c r="S19" s="1" t="s">
        <v>3</v>
      </c>
      <c r="T19" s="1" t="s">
        <v>40</v>
      </c>
      <c r="U19" s="3" t="s">
        <v>67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/>
      <c r="AC19" s="1"/>
      <c r="AD19" s="1" t="s">
        <v>40</v>
      </c>
      <c r="AE19" s="1" t="s">
        <v>40</v>
      </c>
      <c r="AF19" s="1"/>
      <c r="AG19" s="1" t="s">
        <v>40</v>
      </c>
      <c r="AI19" s="25"/>
      <c r="AJ19" s="26"/>
      <c r="AK19" s="27"/>
    </row>
    <row r="20" spans="1:37" x14ac:dyDescent="0.25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2"/>
      <c r="J20" s="1" t="s">
        <v>2</v>
      </c>
      <c r="K20" s="1" t="s">
        <v>40</v>
      </c>
      <c r="L20" s="1"/>
      <c r="M20" s="1" t="s">
        <v>23</v>
      </c>
      <c r="N20" s="1"/>
      <c r="O20" s="1"/>
      <c r="P20" s="1"/>
      <c r="Q20" s="1"/>
      <c r="R20" s="1"/>
      <c r="S20" s="1"/>
      <c r="T20" s="1" t="s">
        <v>40</v>
      </c>
      <c r="V20" s="3" t="s">
        <v>61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/>
      <c r="AG20" s="1" t="s">
        <v>40</v>
      </c>
      <c r="AI20" s="25"/>
      <c r="AJ20" s="26"/>
      <c r="AK20" s="27"/>
    </row>
    <row r="21" spans="1:37" x14ac:dyDescent="0.25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2"/>
      <c r="J21" s="1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1"/>
      <c r="T21" s="1" t="s">
        <v>40</v>
      </c>
      <c r="V21" s="3" t="s">
        <v>59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9"/>
      <c r="AJ21" s="28"/>
      <c r="AK21" s="27"/>
    </row>
    <row r="22" spans="1:37" x14ac:dyDescent="0.25">
      <c r="A22" s="1" t="s">
        <v>5</v>
      </c>
      <c r="B22" s="9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2" t="s">
        <v>22</v>
      </c>
      <c r="J22" s="1" t="s">
        <v>40</v>
      </c>
      <c r="K22" s="1" t="s">
        <v>40</v>
      </c>
      <c r="L22" s="1" t="s">
        <v>40</v>
      </c>
      <c r="M22" s="1"/>
      <c r="N22" s="1"/>
      <c r="O22" s="1"/>
      <c r="P22" s="1" t="s">
        <v>2</v>
      </c>
      <c r="Q22" s="1"/>
      <c r="R22" s="1" t="s">
        <v>40</v>
      </c>
      <c r="S22" s="1"/>
      <c r="T22" s="1" t="s">
        <v>40</v>
      </c>
      <c r="V22" s="3" t="s">
        <v>58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NEEDS COVERAGE</v>
      </c>
      <c r="AB22" s="1"/>
      <c r="AC22" s="1" t="s">
        <v>40</v>
      </c>
      <c r="AD22" s="1"/>
      <c r="AE22" s="1" t="s">
        <v>40</v>
      </c>
      <c r="AF22" s="1"/>
      <c r="AG22" s="1" t="s">
        <v>40</v>
      </c>
      <c r="AI22" s="25"/>
      <c r="AJ22" s="29"/>
      <c r="AK22" s="27"/>
    </row>
    <row r="23" spans="1:37" x14ac:dyDescent="0.25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2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V23" s="3" t="s">
        <v>56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5"/>
      <c r="AJ23" s="26"/>
      <c r="AK23" s="27"/>
    </row>
    <row r="24" spans="1:37" x14ac:dyDescent="0.25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2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1"/>
      <c r="T24" s="1" t="s">
        <v>40</v>
      </c>
      <c r="U24" s="3" t="s">
        <v>67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/>
      <c r="AC24" s="1"/>
      <c r="AD24" s="1" t="s">
        <v>40</v>
      </c>
      <c r="AE24" s="1" t="s">
        <v>40</v>
      </c>
      <c r="AF24" s="1"/>
      <c r="AG24" s="1" t="s">
        <v>40</v>
      </c>
      <c r="AI24" s="25"/>
      <c r="AJ24" s="28"/>
      <c r="AK24" s="27"/>
    </row>
    <row r="25" spans="1:37" x14ac:dyDescent="0.25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2"/>
      <c r="J25" s="1"/>
      <c r="K25" s="1"/>
      <c r="L25" s="1" t="s">
        <v>2</v>
      </c>
      <c r="M25" s="1" t="s">
        <v>23</v>
      </c>
      <c r="N25" s="1"/>
      <c r="O25" s="1"/>
      <c r="P25" s="1"/>
      <c r="Q25" s="1"/>
      <c r="R25" s="1" t="s">
        <v>40</v>
      </c>
      <c r="S25" s="1"/>
      <c r="T25" s="1" t="s">
        <v>40</v>
      </c>
      <c r="V25" s="3" t="s">
        <v>54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5"/>
      <c r="AJ25" s="29"/>
      <c r="AK25" s="27"/>
    </row>
    <row r="26" spans="1:37" x14ac:dyDescent="0.25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/>
      <c r="I26" s="2"/>
      <c r="J26" s="1" t="s">
        <v>22</v>
      </c>
      <c r="K26" s="1" t="s">
        <v>3</v>
      </c>
      <c r="L26" s="1"/>
      <c r="M26" s="1" t="s">
        <v>40</v>
      </c>
      <c r="N26" s="1"/>
      <c r="O26" s="1" t="s">
        <v>2</v>
      </c>
      <c r="P26" s="1" t="s">
        <v>23</v>
      </c>
      <c r="Q26" s="1" t="s">
        <v>40</v>
      </c>
      <c r="R26" s="1"/>
      <c r="S26" s="1"/>
      <c r="T26" s="1" t="s">
        <v>40</v>
      </c>
      <c r="V26" s="3" t="s">
        <v>59</v>
      </c>
      <c r="W26" s="1" t="str">
        <f t="shared" si="0"/>
        <v>Huckaby</v>
      </c>
      <c r="X26" s="1" t="str">
        <f t="shared" si="1"/>
        <v>Kulkarni</v>
      </c>
      <c r="Y26" s="1" t="str">
        <f t="shared" si="2"/>
        <v>Siow</v>
      </c>
      <c r="Z26" s="1" t="str">
        <f t="shared" si="3"/>
        <v/>
      </c>
      <c r="AA26" s="1" t="str">
        <f t="shared" si="4"/>
        <v>Tam</v>
      </c>
      <c r="AB26" s="1"/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5"/>
      <c r="AJ26" s="28"/>
      <c r="AK26" s="27"/>
    </row>
    <row r="27" spans="1:37" x14ac:dyDescent="0.25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 t="s">
        <v>22</v>
      </c>
      <c r="I27" s="2"/>
      <c r="J27" s="1"/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1"/>
      <c r="T27" s="1" t="s">
        <v>40</v>
      </c>
      <c r="V27" s="3" t="s">
        <v>61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Hill (Kirk)</v>
      </c>
      <c r="Z27" s="1" t="str">
        <f t="shared" si="3"/>
        <v/>
      </c>
      <c r="AA27" s="1" t="str">
        <f t="shared" si="4"/>
        <v>Nicholson</v>
      </c>
      <c r="AB27" s="1"/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5"/>
      <c r="AJ27" s="28"/>
      <c r="AK27" s="27"/>
    </row>
    <row r="28" spans="1:37" x14ac:dyDescent="0.25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2"/>
      <c r="J28" s="1"/>
      <c r="K28" s="1" t="s">
        <v>40</v>
      </c>
      <c r="L28" s="1" t="s">
        <v>23</v>
      </c>
      <c r="M28" s="1" t="s">
        <v>40</v>
      </c>
      <c r="N28" s="1"/>
      <c r="O28" s="1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5"/>
      <c r="AJ28" s="26"/>
      <c r="AK28" s="27"/>
    </row>
    <row r="29" spans="1:37" x14ac:dyDescent="0.25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2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/>
      <c r="S29" s="1"/>
      <c r="T29" s="1" t="s">
        <v>40</v>
      </c>
      <c r="V29" s="3" t="s">
        <v>56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5"/>
      <c r="AJ29" s="29"/>
      <c r="AK29" s="27"/>
    </row>
    <row r="30" spans="1:37" x14ac:dyDescent="0.25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2"/>
      <c r="J30" s="1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3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/>
      <c r="AC30" s="1"/>
      <c r="AD30" s="1"/>
      <c r="AE30" s="1"/>
      <c r="AF30" s="1"/>
      <c r="AG30" s="1" t="s">
        <v>40</v>
      </c>
      <c r="AI30" s="25"/>
      <c r="AJ30" s="28"/>
      <c r="AK30" s="27"/>
    </row>
    <row r="31" spans="1:37" x14ac:dyDescent="0.25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2" t="s">
        <v>40</v>
      </c>
      <c r="J31" s="1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1"/>
      <c r="T31" s="1" t="s">
        <v>40</v>
      </c>
      <c r="U31" s="3" t="s">
        <v>67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5"/>
      <c r="AJ31" s="26"/>
      <c r="AK31" s="27"/>
    </row>
    <row r="32" spans="1:37" x14ac:dyDescent="0.25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2"/>
      <c r="J32" s="1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/>
      <c r="S32" s="1"/>
      <c r="T32" s="1" t="s">
        <v>40</v>
      </c>
      <c r="V32" s="3" t="s">
        <v>61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5"/>
      <c r="AJ32" s="29"/>
      <c r="AK32" s="27"/>
    </row>
    <row r="33" spans="1:33" x14ac:dyDescent="0.25">
      <c r="B33" s="18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18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21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69</v>
      </c>
      <c r="S34" s="7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3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2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R35" si="6">COUNTIF(M2:M32,"Trauma")+COUNTIF(M2:M32,"CHP*")+COUNTIF(M2:M32,"SHY")+COUNTIF(M2:M32,"CT")</f>
        <v>5</v>
      </c>
      <c r="N35" s="1">
        <f t="shared" si="6"/>
        <v>5</v>
      </c>
      <c r="O35" s="1">
        <f t="shared" si="6"/>
        <v>5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1">
        <v>0</v>
      </c>
      <c r="T35" s="1">
        <v>0</v>
      </c>
      <c r="V35" s="3"/>
      <c r="W35" s="24" t="s">
        <v>62</v>
      </c>
      <c r="X35" s="3">
        <f>SUM(AC34:AF34)</f>
        <v>57</v>
      </c>
      <c r="Y35" s="16"/>
      <c r="Z35" s="16"/>
      <c r="AA35" s="16"/>
      <c r="AB35" s="16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1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9">
        <v>3</v>
      </c>
      <c r="T36" s="9">
        <v>0</v>
      </c>
      <c r="W36" s="10" t="s">
        <v>63</v>
      </c>
      <c r="X36" s="3">
        <f>SUM($AC$34:$AG$34)</f>
        <v>87</v>
      </c>
    </row>
    <row r="37" spans="1:33" x14ac:dyDescent="0.25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1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3</v>
      </c>
      <c r="T37" s="9">
        <f t="shared" si="9"/>
        <v>0</v>
      </c>
      <c r="W37" s="10" t="s">
        <v>64</v>
      </c>
      <c r="X37" s="3">
        <f>SUM(D36:T36)</f>
        <v>72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1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</row>
    <row r="39" spans="1:33" s="5" customFormat="1" x14ac:dyDescent="0.25">
      <c r="A39" s="2" t="s">
        <v>2</v>
      </c>
      <c r="B39" s="19"/>
      <c r="C39" s="19">
        <f t="shared" ref="C39:S39" si="11">COUNTIF(C$2:C$32,$A39)</f>
        <v>2</v>
      </c>
      <c r="D39" s="19">
        <f t="shared" si="11"/>
        <v>2</v>
      </c>
      <c r="E39" s="19">
        <f t="shared" si="11"/>
        <v>2</v>
      </c>
      <c r="F39" s="19">
        <f t="shared" si="11"/>
        <v>1</v>
      </c>
      <c r="G39" s="19">
        <f t="shared" si="11"/>
        <v>1</v>
      </c>
      <c r="H39" s="19">
        <f t="shared" si="11"/>
        <v>1</v>
      </c>
      <c r="I39" s="19">
        <f t="shared" si="11"/>
        <v>1</v>
      </c>
      <c r="J39" s="19">
        <f t="shared" si="11"/>
        <v>1</v>
      </c>
      <c r="K39" s="19">
        <f t="shared" si="11"/>
        <v>0</v>
      </c>
      <c r="L39" s="19">
        <f t="shared" si="11"/>
        <v>1</v>
      </c>
      <c r="M39" s="19">
        <f t="shared" si="11"/>
        <v>2</v>
      </c>
      <c r="N39" s="19">
        <f t="shared" si="11"/>
        <v>1</v>
      </c>
      <c r="O39" s="19">
        <f t="shared" si="11"/>
        <v>1</v>
      </c>
      <c r="P39" s="19">
        <f t="shared" si="11"/>
        <v>1</v>
      </c>
      <c r="Q39" s="19">
        <f t="shared" si="11"/>
        <v>1</v>
      </c>
      <c r="R39" s="19">
        <f t="shared" si="11"/>
        <v>1</v>
      </c>
      <c r="S39" s="19">
        <f t="shared" si="11"/>
        <v>0</v>
      </c>
      <c r="T39" s="19">
        <f t="shared" ref="C39:T43" si="12">COUNTIF(T$2:T$32,$A39)</f>
        <v>0</v>
      </c>
      <c r="W39" s="30"/>
      <c r="X39" s="30"/>
      <c r="Y39" s="30"/>
      <c r="Z39" s="30"/>
      <c r="AA39" s="30"/>
      <c r="AB39" s="30"/>
    </row>
    <row r="40" spans="1:33" x14ac:dyDescent="0.25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1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1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1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1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1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9">
        <f t="shared" si="12"/>
        <v>3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2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2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2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2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22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22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23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48</v>
      </c>
      <c r="D51" s="12"/>
      <c r="E51" s="12"/>
      <c r="F51" s="12"/>
      <c r="G51" s="12"/>
      <c r="H51" s="12"/>
      <c r="I51" s="23"/>
      <c r="J51" s="12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12"/>
      <c r="T51" s="12" t="s">
        <v>52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23"/>
      <c r="J52" s="12"/>
      <c r="K52" s="12"/>
      <c r="L52" s="12"/>
      <c r="M52" s="12" t="s">
        <v>65</v>
      </c>
      <c r="N52" s="12" t="s">
        <v>65</v>
      </c>
      <c r="O52" s="12" t="s">
        <v>65</v>
      </c>
      <c r="P52" s="12"/>
      <c r="Q52" s="12" t="s">
        <v>66</v>
      </c>
      <c r="R52" s="12" t="s">
        <v>65</v>
      </c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23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 t="s">
        <v>41</v>
      </c>
      <c r="J54" s="3" t="s">
        <v>53</v>
      </c>
    </row>
    <row r="55" spans="1:20" x14ac:dyDescent="0.25">
      <c r="C55" s="3" t="s">
        <v>50</v>
      </c>
    </row>
    <row r="57" spans="1:20" x14ac:dyDescent="0.25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2017-06-25T21:18:27Z</dcterms:modified>
</cp:coreProperties>
</file>