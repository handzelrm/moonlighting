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eN/uH6WhyIPS543EgzxT2Z+Pt2OaNIA40mk4bv8SqnCd3vKfCbAzxCqiSwgPPD+V2bF+kiIXduZmq/Rv2+DNQ==" workbookSaltValue="LgkpKlkxyxyJILQBAPpA5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L35" i="5"/>
  <c r="O35" i="5"/>
  <c r="Q35" i="5"/>
  <c r="S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D35" i="5" s="1"/>
  <c r="E35" i="3"/>
  <c r="E35" i="5" s="1"/>
  <c r="F35" i="3"/>
  <c r="F35" i="5" s="1"/>
  <c r="G35" i="3"/>
  <c r="G35" i="5" s="1"/>
  <c r="H35" i="3"/>
  <c r="H35" i="5" s="1"/>
  <c r="I35" i="3"/>
  <c r="I35" i="5" s="1"/>
  <c r="J35" i="3"/>
  <c r="J35" i="5" s="1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<sst xmlns="http://schemas.openxmlformats.org/spreadsheetml/2006/main" count="235" uniqueCount="55">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</sst>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H14" activePane="bottomRight" state="frozen"/>
      <selection pane="topRight" activeCell="C1" sqref="C1"/>
      <selection pane="bottomLeft" activeCell="A2" sqref="A2"/>
      <selection pane="bottomRight" activeCell="J14" sqref="J14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90" zoomScaleNormal="90" zoomScalePageLayoutView="6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I36" sqref="I3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8" width="10" style="3" bestFit="1" customWidth="1"/>
    <col min="9" max="9" width="10" style="5" bestFit="1" customWidth="1"/>
    <col min="10" max="10" width="10" style="3" bestFit="1" customWidth="1"/>
    <col min="11" max="11" width="8.69140625" style="3" bestFit="1" customWidth="1"/>
    <col min="12" max="12" width="10" style="3" bestFit="1" customWidth="1"/>
    <col min="13" max="13" width="14.53515625" style="3" bestFit="1" customWidth="1"/>
    <col min="14" max="14" width="10.53515625" style="3" bestFit="1" customWidth="1"/>
    <col min="15" max="15" width="9.691406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2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2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1"/>
      <c r="I3" s="2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1"/>
      <c r="I4" s="2" t="s">
        <v>40</v>
      </c>
      <c r="J4" s="1" t="s">
        <v>40</v>
      </c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/>
      <c r="H5" s="1"/>
      <c r="I5" s="2" t="s">
        <v>40</v>
      </c>
      <c r="J5" s="1" t="s">
        <v>40</v>
      </c>
      <c r="K5" s="1" t="s">
        <v>40</v>
      </c>
      <c r="L5" s="1" t="s">
        <v>40</v>
      </c>
      <c r="M5" s="1"/>
      <c r="N5" s="1"/>
      <c r="O5" s="1"/>
      <c r="P5" s="1" t="s">
        <v>40</v>
      </c>
      <c r="Q5" s="1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1"/>
      <c r="D6" s="1"/>
      <c r="E6" s="1"/>
      <c r="F6" s="1"/>
      <c r="G6" s="1"/>
      <c r="H6" s="1"/>
      <c r="I6" s="2" t="s">
        <v>40</v>
      </c>
      <c r="J6" s="1"/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2"/>
      <c r="J8" s="1"/>
      <c r="K8" s="1" t="s">
        <v>40</v>
      </c>
      <c r="L8" s="1"/>
      <c r="M8" s="1"/>
      <c r="N8" s="1"/>
      <c r="O8" s="1"/>
      <c r="P8" s="1"/>
      <c r="Q8" s="1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2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1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40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/>
      <c r="H12" s="1"/>
      <c r="I12" s="2" t="s">
        <v>40</v>
      </c>
      <c r="J12" s="1"/>
      <c r="K12" s="1"/>
      <c r="L12" s="1" t="s">
        <v>40</v>
      </c>
      <c r="M12" s="1"/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2" t="s">
        <v>40</v>
      </c>
      <c r="J13" s="1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2" t="s">
        <v>40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1"/>
      <c r="I16" s="2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1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 t="s">
        <v>40</v>
      </c>
      <c r="F18" s="1"/>
      <c r="G18" s="1"/>
      <c r="H18" s="1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/>
      <c r="H19" s="1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2"/>
      <c r="J20" s="1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 t="s">
        <v>40</v>
      </c>
      <c r="I21" s="2"/>
      <c r="J21" s="1" t="s">
        <v>40</v>
      </c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/>
      <c r="H22" s="1" t="s">
        <v>40</v>
      </c>
      <c r="I22" s="2"/>
      <c r="J22" s="1" t="s">
        <v>40</v>
      </c>
      <c r="K22" s="1" t="s">
        <v>40</v>
      </c>
      <c r="L22" s="1" t="s">
        <v>40</v>
      </c>
      <c r="M22" s="1"/>
      <c r="N22" s="1"/>
      <c r="O22" s="1"/>
      <c r="P22" s="1"/>
      <c r="Q22" s="1"/>
      <c r="R22" s="1" t="s">
        <v>40</v>
      </c>
      <c r="S22" s="1"/>
      <c r="T22" s="1" t="s">
        <v>40</v>
      </c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1"/>
      <c r="I23" s="2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1"/>
      <c r="I24" s="2"/>
      <c r="J24" s="1" t="s">
        <v>40</v>
      </c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1"/>
      <c r="I25" s="2"/>
      <c r="J25" s="1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2"/>
      <c r="J26" s="1"/>
      <c r="K26" s="1"/>
      <c r="L26" s="1"/>
      <c r="M26" s="1" t="s">
        <v>40</v>
      </c>
      <c r="N26" s="1"/>
      <c r="O26" s="1"/>
      <c r="P26" s="1"/>
      <c r="Q26" s="1"/>
      <c r="R26" s="1"/>
      <c r="S26" s="1"/>
      <c r="T26" s="1" t="s">
        <v>40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2"/>
      <c r="J27" s="1"/>
      <c r="K27" s="1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/>
      <c r="D28" s="1"/>
      <c r="E28" s="1"/>
      <c r="F28" s="1"/>
      <c r="G28" s="1"/>
      <c r="H28" s="1" t="s">
        <v>40</v>
      </c>
      <c r="I28" s="2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/>
      <c r="D29" s="1"/>
      <c r="E29" s="1" t="s">
        <v>40</v>
      </c>
      <c r="F29" s="1"/>
      <c r="G29" s="1"/>
      <c r="H29" s="1" t="s">
        <v>40</v>
      </c>
      <c r="I29" s="2"/>
      <c r="J29" s="1"/>
      <c r="K29" s="1" t="s">
        <v>40</v>
      </c>
      <c r="L29" s="1" t="s">
        <v>40</v>
      </c>
      <c r="M29" s="1"/>
      <c r="N29" s="1"/>
      <c r="O29" s="1"/>
      <c r="P29" s="1" t="s">
        <v>40</v>
      </c>
      <c r="Q29" s="1"/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/>
      <c r="D30" s="1"/>
      <c r="E30" s="1" t="s">
        <v>40</v>
      </c>
      <c r="F30" s="1"/>
      <c r="G30" s="1"/>
      <c r="H30" s="1" t="s">
        <v>40</v>
      </c>
      <c r="I30" s="2"/>
      <c r="J30" s="1"/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1"/>
      <c r="D31" s="1"/>
      <c r="E31" s="1" t="s">
        <v>40</v>
      </c>
      <c r="F31" s="1"/>
      <c r="G31" s="1"/>
      <c r="H31" s="1"/>
      <c r="I31" s="2"/>
      <c r="J31" s="1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 t="s">
        <v>45</v>
      </c>
      <c r="D34" s="7" t="s">
        <v>39</v>
      </c>
      <c r="E34" s="7" t="s">
        <v>45</v>
      </c>
      <c r="F34" s="7" t="s">
        <v>45</v>
      </c>
      <c r="G34" s="7" t="s">
        <v>39</v>
      </c>
      <c r="H34" s="7" t="s">
        <v>42</v>
      </c>
      <c r="I34" s="22" t="s">
        <v>39</v>
      </c>
      <c r="J34" s="7" t="s">
        <v>39</v>
      </c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 t="s">
        <v>52</v>
      </c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2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s="5" customFormat="1" x14ac:dyDescent="0.4">
      <c r="A36" s="2" t="s">
        <v>28</v>
      </c>
      <c r="B36" s="19"/>
      <c r="C36" s="19">
        <f>INT(RIGHT(C34))</f>
        <v>3</v>
      </c>
      <c r="D36" s="19">
        <f t="shared" ref="D36:T36" si="7">INT(RIGHT(D34))</f>
        <v>5</v>
      </c>
      <c r="E36" s="19">
        <f t="shared" si="7"/>
        <v>3</v>
      </c>
      <c r="F36" s="19">
        <f t="shared" si="7"/>
        <v>3</v>
      </c>
      <c r="G36" s="19">
        <f t="shared" si="7"/>
        <v>5</v>
      </c>
      <c r="H36" s="19">
        <f t="shared" si="7"/>
        <v>4</v>
      </c>
      <c r="I36" s="19">
        <f t="shared" si="7"/>
        <v>5</v>
      </c>
      <c r="J36" s="19">
        <f t="shared" si="7"/>
        <v>5</v>
      </c>
      <c r="K36" s="19">
        <f t="shared" si="7"/>
        <v>5</v>
      </c>
      <c r="L36" s="19">
        <f t="shared" ref="L36:R36" si="8">INT(RIGHT(L34))</f>
        <v>4</v>
      </c>
      <c r="M36" s="19">
        <f t="shared" si="8"/>
        <v>5</v>
      </c>
      <c r="N36" s="19">
        <f t="shared" si="8"/>
        <v>5</v>
      </c>
      <c r="O36" s="19">
        <f t="shared" si="8"/>
        <v>5</v>
      </c>
      <c r="P36" s="19">
        <f t="shared" si="8"/>
        <v>5</v>
      </c>
      <c r="Q36" s="19">
        <f t="shared" si="8"/>
        <v>4</v>
      </c>
      <c r="R36" s="19">
        <f t="shared" si="8"/>
        <v>5</v>
      </c>
      <c r="S36" s="19">
        <f t="shared" si="7"/>
        <v>3</v>
      </c>
      <c r="T36" s="19">
        <f t="shared" si="7"/>
        <v>0</v>
      </c>
      <c r="U36" s="5">
        <f>SUM(D36:T36)</f>
        <v>71</v>
      </c>
      <c r="W36" s="25"/>
      <c r="X36" s="25"/>
      <c r="Y36" s="25"/>
      <c r="Z36" s="25"/>
      <c r="AA36" s="25"/>
      <c r="AB36" s="25"/>
    </row>
    <row r="37" spans="1:33" x14ac:dyDescent="0.4">
      <c r="A37" s="1" t="s">
        <v>30</v>
      </c>
      <c r="B37" s="9"/>
      <c r="C37" s="9">
        <f t="shared" ref="C37:T37" si="9">C36-C35</f>
        <v>3</v>
      </c>
      <c r="D37" s="9">
        <f t="shared" si="9"/>
        <v>5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1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>
        <f t="shared" si="9"/>
        <v>3</v>
      </c>
      <c r="T37" s="9">
        <f t="shared" si="9"/>
        <v>0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1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1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1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1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1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1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2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2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2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2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23">
        <f>SUMPRODUCT(COUNTIFS($A$2:$A$32,{"Fri";"Sat";"Sun"},I$2:I$32,"x"))/$B48</f>
        <v>0.21428571428571427</v>
      </c>
      <c r="J48" s="11">
        <f>SUMPRODUCT(COUNTIFS($A$2:$A$32,{"Fri";"Sat";"Sun"},J$2:J$32,"x"))/$B48</f>
        <v>0.35714285714285715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23">
        <f t="shared" si="21"/>
        <v>0.29032258064516131</v>
      </c>
      <c r="J49" s="11">
        <f t="shared" si="21"/>
        <v>0.25806451612903225</v>
      </c>
      <c r="K49" s="11">
        <f t="shared" si="21"/>
        <v>0.58064516129032262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21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21"/>
      <c r="J51" s="12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 t="s">
        <v>53</v>
      </c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21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2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54</v>
      </c>
    </row>
    <row r="55" spans="1:20" x14ac:dyDescent="0.4">
      <c r="C55" s="3" t="s">
        <v>51</v>
      </c>
    </row>
    <row r="57" spans="1:20" x14ac:dyDescent="0.4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2017-06-08T16:09:33Z</dcterms:modified>
</cp:coreProperties>
</file>