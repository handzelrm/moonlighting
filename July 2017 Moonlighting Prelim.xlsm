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jIMzRDp1SL5Vgnk5rwLc03oU4muY2AQ9SPPS5Miz5p6Ei0e212jBDU9XRQ4hE1ijsZPAI7yGD1b1mFq6Ee7DhA==" workbookSaltValue="7Exyjw6KA534vWK5ea58/g==" workbookSpinCount="100000" lockStructure="1"/>
  <bookViews>
    <workbookView xWindow="0" yWindow="0" windowWidth="15617" windowHeight="3634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L35" i="3"/>
  <c r="M35" i="3"/>
  <c r="N35" i="3"/>
  <c r="O35" i="3"/>
  <c r="P35" i="3"/>
  <c r="Q35" i="3"/>
  <c r="R35" i="3"/>
  <c r="L36" i="3"/>
  <c r="L37" i="3" s="1"/>
  <c r="M36" i="3"/>
  <c r="M37" i="3" s="1"/>
  <c r="N36" i="3"/>
  <c r="O36" i="3"/>
  <c r="P36" i="3"/>
  <c r="P37" i="3" s="1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R47" i="3" s="1"/>
  <c r="L46" i="3"/>
  <c r="M46" i="3"/>
  <c r="N46" i="3"/>
  <c r="O46" i="3"/>
  <c r="P46" i="3"/>
  <c r="Q46" i="3"/>
  <c r="R46" i="3"/>
  <c r="N47" i="3"/>
  <c r="O37" i="3" l="1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G35" i="3"/>
  <c r="H35" i="3"/>
  <c r="I35" i="3"/>
  <c r="J35" i="3"/>
  <c r="K35" i="3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<sst xmlns="http://schemas.openxmlformats.org/spreadsheetml/2006/main" count="77" uniqueCount="40">
  <si>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</si>
  <si>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</si>
  <si>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</si>
  <si>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</si>
  <si>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</si>
  <si>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</si>
  <si>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</si>
  <si>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</si>
  <si>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</si>
  <si>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</si>
  <si>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</si>
  <si>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</si>
  <si>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</si>
  <si>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</si>
  <si>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</si>
  <si>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</si>
  <si>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</si>
  <si>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</si>
  <si>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</si>
  <si>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</si>
  <si>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</si>
  <si>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</si>
  <si>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</si>
  <si>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</si>
  <si>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</si>
  <si>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</si>
  <si>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</si>
  <si>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</si>
  <si>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</si>
  <si>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</si>
  <si>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</si>
  <si>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</si>
  <si>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</si>
  <si>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</si>
  <si>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</si>
  <si>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</si>
  <si>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</si>
  <si>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</si>
  <si>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</si>
  <si>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Ergo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</si>
</sst>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55" zoomScaleNormal="5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7" sqref="I2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Ergo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Thu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/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 t="str">
        <f>IF(ISBLANK(Master!J2),"",Master!J2)</f>
        <v/>
      </c>
      <c r="K2" s="13" t="str">
        <f>IF(ISBLANK(Master!K2),"",Master!K2)</f>
        <v/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/>
      </c>
      <c r="O2" s="13" t="str">
        <f>IF(ISBLANK(Master!O2),"",Master!O2)</f>
        <v/>
      </c>
      <c r="P2" s="13" t="str">
        <f>IF(ISBLANK(Master!P2),"",Master!P2)</f>
        <v/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Fri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 t="str">
        <f>IF(ISBLANK(Master!K3),"",Master!K3)</f>
        <v/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/>
      </c>
      <c r="O3" s="13" t="str">
        <f>IF(ISBLANK(Master!O3),"",Master!O3)</f>
        <v/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Sat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/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/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Sun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/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Mon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/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Tue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Wed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Thu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/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/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Fri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/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Sat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Sun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Mon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Tue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Wed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Thu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/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Fri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Sat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Sun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Mon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Tue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/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Wed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Thu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/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Fri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Sat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Sun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Mon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Tue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/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Wed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/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Thu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Fri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Sat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/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/>
      </c>
      <c r="J34" s="13" t="str">
        <f>IF(ISBLANK(Master!J34),"",Master!J34)</f>
        <v/>
      </c>
      <c r="K34" s="13" t="str">
        <f>IF(ISBLANK(Master!K34),"",Master!K34)</f>
        <v/>
      </c>
      <c r="L34" s="13" t="str">
        <f>IF(ISBLANK(Master!L34),"",Master!L34)</f>
        <v/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/>
      </c>
      <c r="P34" s="13" t="str">
        <f>IF(ISBLANK(Master!P34),"",Master!P34)</f>
        <v/>
      </c>
      <c r="Q34" s="13" t="str">
        <f>IF(ISBLANK(Master!Q34),"",Master!Q34)</f>
        <v/>
      </c>
      <c r="R34" s="13" t="str">
        <f>IF(ISBLANK(Master!R34),"",Master!R34)</f>
        <v/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1" sqref="E11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8.69140625" style="3" bestFit="1" customWidth="1"/>
    <col min="4" max="4" width="14.53515625" style="3" bestFit="1" customWidth="1"/>
    <col min="5" max="5" width="8.69140625" style="5" bestFit="1" customWidth="1"/>
    <col min="6" max="6" width="12.53515625" style="3" bestFit="1" customWidth="1"/>
    <col min="7" max="7" width="9.15234375" style="3" bestFit="1" customWidth="1"/>
    <col min="8" max="8" width="9.3046875" style="3" bestFit="1" customWidth="1"/>
    <col min="9" max="10" width="8.69140625" style="3" bestFit="1" customWidth="1"/>
    <col min="11" max="11" width="5.921875" style="3" bestFit="1" customWidth="1"/>
    <col min="12" max="12" width="3.61328125" style="3" bestFit="1" customWidth="1"/>
    <col min="13" max="13" width="11.69140625" style="3" bestFit="1" customWidth="1"/>
    <col min="14" max="14" width="8.53515625" style="3" bestFit="1" customWidth="1"/>
    <col min="15" max="15" width="7.84375" style="3" bestFit="1" customWidth="1"/>
    <col min="16" max="16" width="7.53515625" style="3" bestFit="1" customWidth="1"/>
    <col min="17" max="17" width="5.921875" style="3" bestFit="1" customWidth="1"/>
    <col min="18" max="18" width="8.69140625" style="3" customWidth="1"/>
    <col min="19" max="19" width="10.15234375" style="3" bestFit="1" customWidth="1"/>
    <col min="20" max="20" width="8.84375" style="3" bestFit="1" customWidth="1"/>
    <col min="21" max="21" width="8.15234375" style="3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39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10</v>
      </c>
      <c r="B2" s="9">
        <v>1</v>
      </c>
      <c r="C2" s="1"/>
      <c r="D2" s="1"/>
      <c r="E2" s="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W2" s="1" t="str">
        <f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5</v>
      </c>
      <c r="B3" s="9">
        <v>2</v>
      </c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W3" s="1" t="str">
        <f>IF(ISBLANK(AC3),IF(COUNTIF($C3:$T3,W$1)&gt;0,"ERROR",""),IF(COUNTIF($C3:$T3,W$1)&lt;1,"NEEDS COVERAGE",IF(COUNTIF($C3:$T3,W$1)&gt;1,"ERROR",IF(ISNA(INDEX($C$1:$T$1,MATCH(W$1,$C3:$T3,0))),"",INDEX($C$1:$T$1,MATCH(W$1,$C3:$T3,0))))))</f>
        <v/>
      </c>
      <c r="X3" s="1" t="str">
        <f>IF(ISBLANK(AD3),IF(COUNTIF($C3:$T3,X$1)&gt;0,"ERROR",""),IF(COUNTIF($C3:$T3,X$1)&lt;1,"NEEDS COVERAGE",IF(COUNTIF($C3:$T3,X$1)&gt;1,"ERROR",IF(ISNA(INDEX($C$1:$T$1,MATCH(X$1,$C3:$T3,0))),"",INDEX($C$1:$T$1,MATCH(X$1,$C3:$T3,0))))))</f>
        <v/>
      </c>
      <c r="Y3" s="1" t="str">
        <f>IF(ISBLANK(AE3),IF(COUNTIF($C3:$T3,Y$1)&gt;0,"ERROR",""),IF(COUNTIF($C3:$T3,Y$1)&lt;1,"NEEDS COVERAGE",IF(COUNTIF($C3:$T3,Y$1)&gt;1,"ERROR",IF(ISNA(INDEX($C$1:$T$1,MATCH(Y$1,$C3:$T3,0))),"",INDEX($C$1:$T$1,MATCH(Y$1,$C3:$T3,0))))))</f>
        <v/>
      </c>
      <c r="Z3" s="1" t="str">
        <f>IF(ISBLANK(AF3),IF(COUNTIF($C3:$T3,Z$1)&gt;0,"ERROR",""),IF(COUNTIF($C3:$T3,Z$1)&lt;1,"NEEDS COVERAGE",IF(COUNTIF($C3:$T3,Z$1)&gt;1,"ERROR",IF(ISNA(INDEX($C$1:$T$1,MATCH(Z$1,$C3:$T3,0))),"",INDEX($C$1:$T$1,MATCH(Z$1,$C3:$T3,0))))))</f>
        <v/>
      </c>
      <c r="AA3" s="1" t="str">
        <f>IF(ISBLANK(AG3),IF(COUNTIF($C3:$T3,AA$1)&gt;0,"ERROR",""),IF(COUNTIF($C3:$T3,AA$1)&lt;1,"NEEDS COVERAGE",IF(COUNTIF($C3:$T3,AA$1)&gt;1,"ERROR",IF(ISNA(INDEX($C$1:$T$1,MATCH(AA$1,$C3:$T3,0))),"",INDEX($C$1:$T$1,MATCH(AA$1,$C3:$T3,0))))))</f>
        <v/>
      </c>
      <c r="AB3" s="1"/>
      <c r="AC3" s="1"/>
      <c r="AD3" s="1"/>
      <c r="AE3" s="1"/>
      <c r="AF3" s="1"/>
      <c r="AG3" s="1"/>
    </row>
    <row r="4" spans="1:33" x14ac:dyDescent="0.4">
      <c r="A4" s="1" t="s">
        <v>6</v>
      </c>
      <c r="B4" s="9">
        <v>3</v>
      </c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W4" s="1" t="str">
        <f>IF(ISBLANK(AC4),IF(COUNTIF($C4:$T4,W$1)&gt;0,"ERROR",""),IF(COUNTIF($C4:$T4,W$1)&lt;1,"NEEDS COVERAGE",IF(COUNTIF($C4:$T4,W$1)&gt;1,"ERROR",IF(ISNA(INDEX($C$1:$T$1,MATCH(W$1,$C4:$T4,0))),"",INDEX($C$1:$T$1,MATCH(W$1,$C4:$T4,0))))))</f>
        <v/>
      </c>
      <c r="X4" s="1" t="str">
        <f>IF(ISBLANK(AD4),IF(COUNTIF($C4:$T4,X$1)&gt;0,"ERROR",""),IF(COUNTIF($C4:$T4,X$1)&lt;1,"NEEDS COVERAGE",IF(COUNTIF($C4:$T4,X$1)&gt;1,"ERROR",IF(ISNA(INDEX($C$1:$T$1,MATCH(X$1,$C4:$T4,0))),"",INDEX($C$1:$T$1,MATCH(X$1,$C4:$T4,0))))))</f>
        <v/>
      </c>
      <c r="Y4" s="1" t="str">
        <f>IF(ISBLANK(AE4),IF(COUNTIF($C4:$T4,Y$1)&gt;0,"ERROR",""),IF(COUNTIF($C4:$T4,Y$1)&lt;1,"NEEDS COVERAGE",IF(COUNTIF($C4:$T4,Y$1)&gt;1,"ERROR",IF(ISNA(INDEX($C$1:$T$1,MATCH(Y$1,$C4:$T4,0))),"",INDEX($C$1:$T$1,MATCH(Y$1,$C4:$T4,0))))))</f>
        <v/>
      </c>
      <c r="Z4" s="1" t="str">
        <f>IF(ISBLANK(AF4),IF(COUNTIF($C4:$T4,Z$1)&gt;0,"ERROR",""),IF(COUNTIF($C4:$T4,Z$1)&lt;1,"NEEDS COVERAGE",IF(COUNTIF($C4:$T4,Z$1)&gt;1,"ERROR",IF(ISNA(INDEX($C$1:$T$1,MATCH(Z$1,$C4:$T4,0))),"",INDEX($C$1:$T$1,MATCH(Z$1,$C4:$T4,0))))))</f>
        <v/>
      </c>
      <c r="AA4" s="1" t="str">
        <f>IF(ISBLANK(AG4),IF(COUNTIF($C4:$T4,AA$1)&gt;0,"ERROR",""),IF(COUNTIF($C4:$T4,AA$1)&lt;1,"NEEDS COVERAGE",IF(COUNTIF($C4:$T4,AA$1)&gt;1,"ERROR",IF(ISNA(INDEX($C$1:$T$1,MATCH(AA$1,$C4:$T4,0))),"",INDEX($C$1:$T$1,MATCH(AA$1,$C4:$T4,0))))))</f>
        <v/>
      </c>
      <c r="AB4" s="1"/>
      <c r="AC4" s="1"/>
      <c r="AD4" s="1"/>
      <c r="AE4" s="1"/>
      <c r="AF4" s="1"/>
      <c r="AG4" s="1"/>
    </row>
    <row r="5" spans="1:33" x14ac:dyDescent="0.4">
      <c r="A5" s="1" t="s">
        <v>7</v>
      </c>
      <c r="B5" s="9">
        <v>4</v>
      </c>
      <c r="C5" s="1"/>
      <c r="D5" s="1"/>
      <c r="E5" s="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W5" s="1" t="str">
        <f>IF(ISBLANK(AC5),IF(COUNTIF($C5:$T5,W$1)&gt;0,"ERROR",""),IF(COUNTIF($C5:$T5,W$1)&lt;1,"NEEDS COVERAGE",IF(COUNTIF($C5:$T5,W$1)&gt;1,"ERROR",IF(ISNA(INDEX($C$1:$T$1,MATCH(W$1,$C5:$T5,0))),"",INDEX($C$1:$T$1,MATCH(W$1,$C5:$T5,0))))))</f>
        <v/>
      </c>
      <c r="X5" s="1" t="str">
        <f>IF(ISBLANK(AD5),IF(COUNTIF($C5:$T5,X$1)&gt;0,"ERROR",""),IF(COUNTIF($C5:$T5,X$1)&lt;1,"NEEDS COVERAGE",IF(COUNTIF($C5:$T5,X$1)&gt;1,"ERROR",IF(ISNA(INDEX($C$1:$T$1,MATCH(X$1,$C5:$T5,0))),"",INDEX($C$1:$T$1,MATCH(X$1,$C5:$T5,0))))))</f>
        <v/>
      </c>
      <c r="Y5" s="1" t="str">
        <f>IF(ISBLANK(AE5),IF(COUNTIF($C5:$T5,Y$1)&gt;0,"ERROR",""),IF(COUNTIF($C5:$T5,Y$1)&lt;1,"NEEDS COVERAGE",IF(COUNTIF($C5:$T5,Y$1)&gt;1,"ERROR",IF(ISNA(INDEX($C$1:$T$1,MATCH(Y$1,$C5:$T5,0))),"",INDEX($C$1:$T$1,MATCH(Y$1,$C5:$T5,0))))))</f>
        <v/>
      </c>
      <c r="Z5" s="1" t="str">
        <f>IF(ISBLANK(AF5),IF(COUNTIF($C5:$T5,Z$1)&gt;0,"ERROR",""),IF(COUNTIF($C5:$T5,Z$1)&lt;1,"NEEDS COVERAGE",IF(COUNTIF($C5:$T5,Z$1)&gt;1,"ERROR",IF(ISNA(INDEX($C$1:$T$1,MATCH(Z$1,$C5:$T5,0))),"",INDEX($C$1:$T$1,MATCH(Z$1,$C5:$T5,0))))))</f>
        <v/>
      </c>
      <c r="AA5" s="1" t="str">
        <f>IF(ISBLANK(AG5),IF(COUNTIF($C5:$T5,AA$1)&gt;0,"ERROR",""),IF(COUNTIF($C5:$T5,AA$1)&lt;1,"NEEDS COVERAGE",IF(COUNTIF($C5:$T5,AA$1)&gt;1,"ERROR",IF(ISNA(INDEX($C$1:$T$1,MATCH(AA$1,$C5:$T5,0))),"",INDEX($C$1:$T$1,MATCH(AA$1,$C5:$T5,0))))))</f>
        <v/>
      </c>
      <c r="AB5" s="1"/>
      <c r="AC5" s="1"/>
      <c r="AD5" s="1"/>
      <c r="AE5" s="1"/>
      <c r="AF5" s="1"/>
      <c r="AG5" s="1"/>
    </row>
    <row r="6" spans="1:33" x14ac:dyDescent="0.4">
      <c r="A6" s="1" t="s">
        <v>8</v>
      </c>
      <c r="B6" s="9">
        <v>5</v>
      </c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W6" s="1" t="str">
        <f>IF(ISBLANK(AC6),IF(COUNTIF($C6:$T6,W$1)&gt;0,"ERROR",""),IF(COUNTIF($C6:$T6,W$1)&lt;1,"NEEDS COVERAGE",IF(COUNTIF($C6:$T6,W$1)&gt;1,"ERROR",IF(ISNA(INDEX($C$1:$T$1,MATCH(W$1,$C6:$T6,0))),"",INDEX($C$1:$T$1,MATCH(W$1,$C6:$T6,0))))))</f>
        <v/>
      </c>
      <c r="X6" s="1" t="str">
        <f>IF(ISBLANK(AD6),IF(COUNTIF($C6:$T6,X$1)&gt;0,"ERROR",""),IF(COUNTIF($C6:$T6,X$1)&lt;1,"NEEDS COVERAGE",IF(COUNTIF($C6:$T6,X$1)&gt;1,"ERROR",IF(ISNA(INDEX($C$1:$T$1,MATCH(X$1,$C6:$T6,0))),"",INDEX($C$1:$T$1,MATCH(X$1,$C6:$T6,0))))))</f>
        <v/>
      </c>
      <c r="Y6" s="1" t="str">
        <f>IF(ISBLANK(AE6),IF(COUNTIF($C6:$T6,Y$1)&gt;0,"ERROR",""),IF(COUNTIF($C6:$T6,Y$1)&lt;1,"NEEDS COVERAGE",IF(COUNTIF($C6:$T6,Y$1)&gt;1,"ERROR",IF(ISNA(INDEX($C$1:$T$1,MATCH(Y$1,$C6:$T6,0))),"",INDEX($C$1:$T$1,MATCH(Y$1,$C6:$T6,0))))))</f>
        <v/>
      </c>
      <c r="Z6" s="1" t="str">
        <f>IF(ISBLANK(AF6),IF(COUNTIF($C6:$T6,Z$1)&gt;0,"ERROR",""),IF(COUNTIF($C6:$T6,Z$1)&lt;1,"NEEDS COVERAGE",IF(COUNTIF($C6:$T6,Z$1)&gt;1,"ERROR",IF(ISNA(INDEX($C$1:$T$1,MATCH(Z$1,$C6:$T6,0))),"",INDEX($C$1:$T$1,MATCH(Z$1,$C6:$T6,0))))))</f>
        <v/>
      </c>
      <c r="AA6" s="1" t="str">
        <f>IF(ISBLANK(AG6),IF(COUNTIF($C6:$T6,AA$1)&gt;0,"ERROR",""),IF(COUNTIF($C6:$T6,AA$1)&lt;1,"NEEDS COVERAGE",IF(COUNTIF($C6:$T6,AA$1)&gt;1,"ERROR",IF(ISNA(INDEX($C$1:$T$1,MATCH(AA$1,$C6:$T6,0))),"",INDEX($C$1:$T$1,MATCH(AA$1,$C6:$T6,0))))))</f>
        <v/>
      </c>
      <c r="AB6" s="1"/>
      <c r="AC6" s="1"/>
      <c r="AD6" s="1"/>
      <c r="AE6" s="1"/>
      <c r="AF6" s="1"/>
      <c r="AG6" s="1"/>
    </row>
    <row r="7" spans="1:33" x14ac:dyDescent="0.4">
      <c r="A7" s="1" t="s">
        <v>9</v>
      </c>
      <c r="B7" s="9">
        <v>6</v>
      </c>
      <c r="C7" s="1"/>
      <c r="D7" s="1"/>
      <c r="E7" s="2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>IF(ISBLANK(AC7),IF(COUNTIF($C7:$T7,W$1)&gt;0,"ERROR",""),IF(COUNTIF($C7:$T7,W$1)&lt;1,"NEEDS COVERAGE",IF(COUNTIF($C7:$T7,W$1)&gt;1,"ERROR",IF(ISNA(INDEX($C$1:$T$1,MATCH(W$1,$C7:$T7,0))),"",INDEX($C$1:$T$1,MATCH(W$1,$C7:$T7,0))))))</f>
        <v/>
      </c>
      <c r="X7" s="1" t="str">
        <f>IF(ISBLANK(AD7),IF(COUNTIF($C7:$T7,X$1)&gt;0,"ERROR",""),IF(COUNTIF($C7:$T7,X$1)&lt;1,"NEEDS COVERAGE",IF(COUNTIF($C7:$T7,X$1)&gt;1,"ERROR",IF(ISNA(INDEX($C$1:$T$1,MATCH(X$1,$C7:$T7,0))),"",INDEX($C$1:$T$1,MATCH(X$1,$C7:$T7,0))))))</f>
        <v/>
      </c>
      <c r="Y7" s="1" t="str">
        <f>IF(ISBLANK(AE7),IF(COUNTIF($C7:$T7,Y$1)&gt;0,"ERROR",""),IF(COUNTIF($C7:$T7,Y$1)&lt;1,"NEEDS COVERAGE",IF(COUNTIF($C7:$T7,Y$1)&gt;1,"ERROR",IF(ISNA(INDEX($C$1:$T$1,MATCH(Y$1,$C7:$T7,0))),"",INDEX($C$1:$T$1,MATCH(Y$1,$C7:$T7,0))))))</f>
        <v/>
      </c>
      <c r="Z7" s="1" t="str">
        <f>IF(ISBLANK(AF7),IF(COUNTIF($C7:$T7,Z$1)&gt;0,"ERROR",""),IF(COUNTIF($C7:$T7,Z$1)&lt;1,"NEEDS COVERAGE",IF(COUNTIF($C7:$T7,Z$1)&gt;1,"ERROR",IF(ISNA(INDEX($C$1:$T$1,MATCH(Z$1,$C7:$T7,0))),"",INDEX($C$1:$T$1,MATCH(Z$1,$C7:$T7,0))))))</f>
        <v/>
      </c>
      <c r="AA7" s="1" t="str">
        <f>IF(ISBLANK(AG7),IF(COUNTIF($C7:$T7,AA$1)&gt;0,"ERROR",""),IF(COUNTIF($C7:$T7,AA$1)&lt;1,"NEEDS COVERAGE",IF(COUNTIF($C7:$T7,AA$1)&gt;1,"ERROR",IF(ISNA(INDEX($C$1:$T$1,MATCH(AA$1,$C7:$T7,0))),"",INDEX($C$1:$T$1,MATCH(AA$1,$C7:$T7,0))))))</f>
        <v/>
      </c>
      <c r="AB7" s="1"/>
      <c r="AC7" s="1"/>
      <c r="AD7" s="1"/>
      <c r="AE7" s="1"/>
      <c r="AF7" s="1"/>
      <c r="AG7" s="1"/>
    </row>
    <row r="8" spans="1:33" x14ac:dyDescent="0.4">
      <c r="A8" s="1" t="s">
        <v>4</v>
      </c>
      <c r="B8" s="9">
        <v>7</v>
      </c>
      <c r="C8" s="1"/>
      <c r="D8" s="1"/>
      <c r="E8" s="2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W8" s="1" t="str">
        <f>IF(ISBLANK(AC8),IF(COUNTIF($C8:$T8,W$1)&gt;0,"ERROR",""),IF(COUNTIF($C8:$T8,W$1)&lt;1,"NEEDS COVERAGE",IF(COUNTIF($C8:$T8,W$1)&gt;1,"ERROR",IF(ISNA(INDEX($C$1:$T$1,MATCH(W$1,$C8:$T8,0))),"",INDEX($C$1:$T$1,MATCH(W$1,$C8:$T8,0))))))</f>
        <v/>
      </c>
      <c r="X8" s="1" t="str">
        <f>IF(ISBLANK(AD8),IF(COUNTIF($C8:$T8,X$1)&gt;0,"ERROR",""),IF(COUNTIF($C8:$T8,X$1)&lt;1,"NEEDS COVERAGE",IF(COUNTIF($C8:$T8,X$1)&gt;1,"ERROR",IF(ISNA(INDEX($C$1:$T$1,MATCH(X$1,$C8:$T8,0))),"",INDEX($C$1:$T$1,MATCH(X$1,$C8:$T8,0))))))</f>
        <v/>
      </c>
      <c r="Y8" s="1" t="str">
        <f>IF(ISBLANK(AE8),IF(COUNTIF($C8:$T8,Y$1)&gt;0,"ERROR",""),IF(COUNTIF($C8:$T8,Y$1)&lt;1,"NEEDS COVERAGE",IF(COUNTIF($C8:$T8,Y$1)&gt;1,"ERROR",IF(ISNA(INDEX($C$1:$T$1,MATCH(Y$1,$C8:$T8,0))),"",INDEX($C$1:$T$1,MATCH(Y$1,$C8:$T8,0))))))</f>
        <v/>
      </c>
      <c r="Z8" s="1" t="str">
        <f>IF(ISBLANK(AF8),IF(COUNTIF($C8:$T8,Z$1)&gt;0,"ERROR",""),IF(COUNTIF($C8:$T8,Z$1)&lt;1,"NEEDS COVERAGE",IF(COUNTIF($C8:$T8,Z$1)&gt;1,"ERROR",IF(ISNA(INDEX($C$1:$T$1,MATCH(Z$1,$C8:$T8,0))),"",INDEX($C$1:$T$1,MATCH(Z$1,$C8:$T8,0))))))</f>
        <v/>
      </c>
      <c r="AA8" s="1" t="str">
        <f>IF(ISBLANK(AG8),IF(COUNTIF($C8:$T8,AA$1)&gt;0,"ERROR",""),IF(COUNTIF($C8:$T8,AA$1)&lt;1,"NEEDS COVERAGE",IF(COUNTIF($C8:$T8,AA$1)&gt;1,"ERROR",IF(ISNA(INDEX($C$1:$T$1,MATCH(AA$1,$C8:$T8,0))),"",INDEX($C$1:$T$1,MATCH(AA$1,$C8:$T8,0))))))</f>
        <v/>
      </c>
      <c r="AB8" s="1"/>
      <c r="AC8" s="1"/>
      <c r="AD8" s="1"/>
      <c r="AE8" s="1"/>
      <c r="AF8" s="1"/>
      <c r="AG8" s="1"/>
    </row>
    <row r="9" spans="1:33" x14ac:dyDescent="0.4">
      <c r="A9" s="1" t="s">
        <v>10</v>
      </c>
      <c r="B9" s="9">
        <v>8</v>
      </c>
      <c r="C9" s="1"/>
      <c r="D9" s="1"/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W9" s="1" t="str">
        <f>IF(ISBLANK(AC9),IF(COUNTIF($C9:$T9,W$1)&gt;0,"ERROR",""),IF(COUNTIF($C9:$T9,W$1)&lt;1,"NEEDS COVERAGE",IF(COUNTIF($C9:$T9,W$1)&gt;1,"ERROR",IF(ISNA(INDEX($C$1:$T$1,MATCH(W$1,$C9:$T9,0))),"",INDEX($C$1:$T$1,MATCH(W$1,$C9:$T9,0))))))</f>
        <v/>
      </c>
      <c r="X9" s="1" t="str">
        <f>IF(ISBLANK(AD9),IF(COUNTIF($C9:$T9,X$1)&gt;0,"ERROR",""),IF(COUNTIF($C9:$T9,X$1)&lt;1,"NEEDS COVERAGE",IF(COUNTIF($C9:$T9,X$1)&gt;1,"ERROR",IF(ISNA(INDEX($C$1:$T$1,MATCH(X$1,$C9:$T9,0))),"",INDEX($C$1:$T$1,MATCH(X$1,$C9:$T9,0))))))</f>
        <v/>
      </c>
      <c r="Y9" s="1" t="str">
        <f>IF(ISBLANK(AE9),IF(COUNTIF($C9:$T9,Y$1)&gt;0,"ERROR",""),IF(COUNTIF($C9:$T9,Y$1)&lt;1,"NEEDS COVERAGE",IF(COUNTIF($C9:$T9,Y$1)&gt;1,"ERROR",IF(ISNA(INDEX($C$1:$T$1,MATCH(Y$1,$C9:$T9,0))),"",INDEX($C$1:$T$1,MATCH(Y$1,$C9:$T9,0))))))</f>
        <v/>
      </c>
      <c r="Z9" s="1" t="str">
        <f>IF(ISBLANK(AF9),IF(COUNTIF($C9:$T9,Z$1)&gt;0,"ERROR",""),IF(COUNTIF($C9:$T9,Z$1)&lt;1,"NEEDS COVERAGE",IF(COUNTIF($C9:$T9,Z$1)&gt;1,"ERROR",IF(ISNA(INDEX($C$1:$T$1,MATCH(Z$1,$C9:$T9,0))),"",INDEX($C$1:$T$1,MATCH(Z$1,$C9:$T9,0))))))</f>
        <v/>
      </c>
      <c r="AA9" s="1" t="str">
        <f>IF(ISBLANK(AG9),IF(COUNTIF($C9:$T9,AA$1)&gt;0,"ERROR",""),IF(COUNTIF($C9:$T9,AA$1)&lt;1,"NEEDS COVERAGE",IF(COUNTIF($C9:$T9,AA$1)&gt;1,"ERROR",IF(ISNA(INDEX($C$1:$T$1,MATCH(AA$1,$C9:$T9,0))),"",INDEX($C$1:$T$1,MATCH(AA$1,$C9:$T9,0))))))</f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5</v>
      </c>
      <c r="B10" s="9">
        <v>9</v>
      </c>
      <c r="C10" s="1"/>
      <c r="D10" s="1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>IF(ISBLANK(AC10),IF(COUNTIF($C10:$T10,W$1)&gt;0,"ERROR",""),IF(COUNTIF($C10:$T10,W$1)&lt;1,"NEEDS COVERAGE",IF(COUNTIF($C10:$T10,W$1)&gt;1,"ERROR",IF(ISNA(INDEX($C$1:$T$1,MATCH(W$1,$C10:$T10,0))),"",INDEX($C$1:$T$1,MATCH(W$1,$C10:$T10,0))))))</f>
        <v/>
      </c>
      <c r="X10" s="1" t="str">
        <f>IF(ISBLANK(AD10),IF(COUNTIF($C10:$T10,X$1)&gt;0,"ERROR",""),IF(COUNTIF($C10:$T10,X$1)&lt;1,"NEEDS COVERAGE",IF(COUNTIF($C10:$T10,X$1)&gt;1,"ERROR",IF(ISNA(INDEX($C$1:$T$1,MATCH(X$1,$C10:$T10,0))),"",INDEX($C$1:$T$1,MATCH(X$1,$C10:$T10,0))))))</f>
        <v/>
      </c>
      <c r="Y10" s="1" t="str">
        <f>IF(ISBLANK(AE10),IF(COUNTIF($C10:$T10,Y$1)&gt;0,"ERROR",""),IF(COUNTIF($C10:$T10,Y$1)&lt;1,"NEEDS COVERAGE",IF(COUNTIF($C10:$T10,Y$1)&gt;1,"ERROR",IF(ISNA(INDEX($C$1:$T$1,MATCH(Y$1,$C10:$T10,0))),"",INDEX($C$1:$T$1,MATCH(Y$1,$C10:$T10,0))))))</f>
        <v/>
      </c>
      <c r="Z10" s="1" t="str">
        <f>IF(ISBLANK(AF10),IF(COUNTIF($C10:$T10,Z$1)&gt;0,"ERROR",""),IF(COUNTIF($C10:$T10,Z$1)&lt;1,"NEEDS COVERAGE",IF(COUNTIF($C10:$T10,Z$1)&gt;1,"ERROR",IF(ISNA(INDEX($C$1:$T$1,MATCH(Z$1,$C10:$T10,0))),"",INDEX($C$1:$T$1,MATCH(Z$1,$C10:$T10,0))))))</f>
        <v/>
      </c>
      <c r="AA10" s="1" t="str">
        <f>IF(ISBLANK(AG10),IF(COUNTIF($C10:$T10,AA$1)&gt;0,"ERROR",""),IF(COUNTIF($C10:$T10,AA$1)&lt;1,"NEEDS COVERAGE",IF(COUNTIF($C10:$T10,AA$1)&gt;1,"ERROR",IF(ISNA(INDEX($C$1:$T$1,MATCH(AA$1,$C10:$T10,0))),"",INDEX($C$1:$T$1,MATCH(AA$1,$C10:$T10,0))))))</f>
        <v/>
      </c>
      <c r="AB10" s="1"/>
      <c r="AC10" s="1"/>
      <c r="AD10" s="1"/>
      <c r="AE10" s="1"/>
      <c r="AF10" s="1"/>
      <c r="AG10" s="1"/>
    </row>
    <row r="11" spans="1:33" s="5" customFormat="1" x14ac:dyDescent="0.4">
      <c r="A11" s="2" t="s">
        <v>6</v>
      </c>
      <c r="B11" s="19">
        <v>10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W11" s="2" t="str">
        <f>IF(ISBLANK(AC11),IF(COUNTIF($C11:$T11,W$1)&gt;0,"ERROR",""),IF(COUNTIF($C11:$T11,W$1)&lt;1,"NEEDS COVERAGE",IF(COUNTIF($C11:$T11,W$1)&gt;1,"ERROR",IF(ISNA(INDEX($C$1:$T$1,MATCH(W$1,$C11:$T11,0))),"",INDEX($C$1:$T$1,MATCH(W$1,$C11:$T11,0))))))</f>
        <v/>
      </c>
      <c r="X11" s="2" t="str">
        <f>IF(ISBLANK(AD11),IF(COUNTIF($C11:$T11,X$1)&gt;0,"ERROR",""),IF(COUNTIF($C11:$T11,X$1)&lt;1,"NEEDS COVERAGE",IF(COUNTIF($C11:$T11,X$1)&gt;1,"ERROR",IF(ISNA(INDEX($C$1:$T$1,MATCH(X$1,$C11:$T11,0))),"",INDEX($C$1:$T$1,MATCH(X$1,$C11:$T11,0))))))</f>
        <v/>
      </c>
      <c r="Y11" s="2" t="str">
        <f>IF(ISBLANK(AE11),IF(COUNTIF($C11:$T11,Y$1)&gt;0,"ERROR",""),IF(COUNTIF($C11:$T11,Y$1)&lt;1,"NEEDS COVERAGE",IF(COUNTIF($C11:$T11,Y$1)&gt;1,"ERROR",IF(ISNA(INDEX($C$1:$T$1,MATCH(Y$1,$C11:$T11,0))),"",INDEX($C$1:$T$1,MATCH(Y$1,$C11:$T11,0))))))</f>
        <v/>
      </c>
      <c r="Z11" s="2" t="str">
        <f>IF(ISBLANK(AF11),IF(COUNTIF($C11:$T11,Z$1)&gt;0,"ERROR",""),IF(COUNTIF($C11:$T11,Z$1)&lt;1,"NEEDS COVERAGE",IF(COUNTIF($C11:$T11,Z$1)&gt;1,"ERROR",IF(ISNA(INDEX($C$1:$T$1,MATCH(Z$1,$C11:$T11,0))),"",INDEX($C$1:$T$1,MATCH(Z$1,$C11:$T11,0))))))</f>
        <v/>
      </c>
      <c r="AA11" s="2" t="str">
        <f>IF(ISBLANK(AG11),IF(COUNTIF($C11:$T11,AA$1)&gt;0,"ERROR",""),IF(COUNTIF($C11:$T11,AA$1)&lt;1,"NEEDS COVERAGE",IF(COUNTIF($C11:$T11,AA$1)&gt;1,"ERROR",IF(ISNA(INDEX($C$1:$T$1,MATCH(AA$1,$C11:$T11,0))),"",INDEX($C$1:$T$1,MATCH(AA$1,$C11:$T11,0))))))</f>
        <v/>
      </c>
      <c r="AB11" s="2"/>
      <c r="AC11" s="2"/>
      <c r="AD11" s="2"/>
      <c r="AE11" s="2"/>
      <c r="AF11" s="2"/>
      <c r="AG11" s="2"/>
    </row>
    <row r="12" spans="1:33" x14ac:dyDescent="0.4">
      <c r="A12" s="1" t="s">
        <v>7</v>
      </c>
      <c r="B12" s="9">
        <v>11</v>
      </c>
      <c r="C12" s="1"/>
      <c r="D12" s="1"/>
      <c r="E12" s="2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>IF(ISBLANK(AC12),IF(COUNTIF($C12:$T12,W$1)&gt;0,"ERROR",""),IF(COUNTIF($C12:$T12,W$1)&lt;1,"NEEDS COVERAGE",IF(COUNTIF($C12:$T12,W$1)&gt;1,"ERROR",IF(ISNA(INDEX($C$1:$T$1,MATCH(W$1,$C12:$T12,0))),"",INDEX($C$1:$T$1,MATCH(W$1,$C12:$T12,0))))))</f>
        <v/>
      </c>
      <c r="X12" s="1" t="str">
        <f>IF(ISBLANK(AD12),IF(COUNTIF($C12:$T12,X$1)&gt;0,"ERROR",""),IF(COUNTIF($C12:$T12,X$1)&lt;1,"NEEDS COVERAGE",IF(COUNTIF($C12:$T12,X$1)&gt;1,"ERROR",IF(ISNA(INDEX($C$1:$T$1,MATCH(X$1,$C12:$T12,0))),"",INDEX($C$1:$T$1,MATCH(X$1,$C12:$T12,0))))))</f>
        <v/>
      </c>
      <c r="Y12" s="1" t="str">
        <f>IF(ISBLANK(AE12),IF(COUNTIF($C12:$T12,Y$1)&gt;0,"ERROR",""),IF(COUNTIF($C12:$T12,Y$1)&lt;1,"NEEDS COVERAGE",IF(COUNTIF($C12:$T12,Y$1)&gt;1,"ERROR",IF(ISNA(INDEX($C$1:$T$1,MATCH(Y$1,$C12:$T12,0))),"",INDEX($C$1:$T$1,MATCH(Y$1,$C12:$T12,0))))))</f>
        <v/>
      </c>
      <c r="Z12" s="1" t="str">
        <f>IF(ISBLANK(AF12),IF(COUNTIF($C12:$T12,Z$1)&gt;0,"ERROR",""),IF(COUNTIF($C12:$T12,Z$1)&lt;1,"NEEDS COVERAGE",IF(COUNTIF($C12:$T12,Z$1)&gt;1,"ERROR",IF(ISNA(INDEX($C$1:$T$1,MATCH(Z$1,$C12:$T12,0))),"",INDEX($C$1:$T$1,MATCH(Z$1,$C12:$T12,0))))))</f>
        <v/>
      </c>
      <c r="AA12" s="1" t="str">
        <f>IF(ISBLANK(AG12),IF(COUNTIF($C12:$T12,AA$1)&gt;0,"ERROR",""),IF(COUNTIF($C12:$T12,AA$1)&lt;1,"NEEDS COVERAGE",IF(COUNTIF($C12:$T12,AA$1)&gt;1,"ERROR",IF(ISNA(INDEX($C$1:$T$1,MATCH(AA$1,$C12:$T12,0))),"",INDEX($C$1:$T$1,MATCH(AA$1,$C12:$T12,0))))))</f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8</v>
      </c>
      <c r="B13" s="9">
        <v>12</v>
      </c>
      <c r="C13" s="1"/>
      <c r="D13" s="1"/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W13" s="1" t="str">
        <f>IF(ISBLANK(AC13),IF(COUNTIF($C13:$T13,W$1)&gt;0,"ERROR",""),IF(COUNTIF($C13:$T13,W$1)&lt;1,"NEEDS COVERAGE",IF(COUNTIF($C13:$T13,W$1)&gt;1,"ERROR",IF(ISNA(INDEX($C$1:$T$1,MATCH(W$1,$C13:$T13,0))),"",INDEX($C$1:$T$1,MATCH(W$1,$C13:$T13,0))))))</f>
        <v/>
      </c>
      <c r="X13" s="1" t="str">
        <f>IF(ISBLANK(AD13),IF(COUNTIF($C13:$T13,X$1)&gt;0,"ERROR",""),IF(COUNTIF($C13:$T13,X$1)&lt;1,"NEEDS COVERAGE",IF(COUNTIF($C13:$T13,X$1)&gt;1,"ERROR",IF(ISNA(INDEX($C$1:$T$1,MATCH(X$1,$C13:$T13,0))),"",INDEX($C$1:$T$1,MATCH(X$1,$C13:$T13,0))))))</f>
        <v/>
      </c>
      <c r="Y13" s="1" t="str">
        <f>IF(ISBLANK(AE13),IF(COUNTIF($C13:$T13,Y$1)&gt;0,"ERROR",""),IF(COUNTIF($C13:$T13,Y$1)&lt;1,"NEEDS COVERAGE",IF(COUNTIF($C13:$T13,Y$1)&gt;1,"ERROR",IF(ISNA(INDEX($C$1:$T$1,MATCH(Y$1,$C13:$T13,0))),"",INDEX($C$1:$T$1,MATCH(Y$1,$C13:$T13,0))))))</f>
        <v/>
      </c>
      <c r="Z13" s="1" t="str">
        <f>IF(ISBLANK(AF13),IF(COUNTIF($C13:$T13,Z$1)&gt;0,"ERROR",""),IF(COUNTIF($C13:$T13,Z$1)&lt;1,"NEEDS COVERAGE",IF(COUNTIF($C13:$T13,Z$1)&gt;1,"ERROR",IF(ISNA(INDEX($C$1:$T$1,MATCH(Z$1,$C13:$T13,0))),"",INDEX($C$1:$T$1,MATCH(Z$1,$C13:$T13,0))))))</f>
        <v/>
      </c>
      <c r="AA13" s="1" t="str">
        <f>IF(ISBLANK(AG13),IF(COUNTIF($C13:$T13,AA$1)&gt;0,"ERROR",""),IF(COUNTIF($C13:$T13,AA$1)&lt;1,"NEEDS COVERAGE",IF(COUNTIF($C13:$T13,AA$1)&gt;1,"ERROR",IF(ISNA(INDEX($C$1:$T$1,MATCH(AA$1,$C13:$T13,0))),"",INDEX($C$1:$T$1,MATCH(AA$1,$C13:$T13,0))))))</f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9</v>
      </c>
      <c r="B14" s="9">
        <v>13</v>
      </c>
      <c r="C14" s="1"/>
      <c r="D14" s="1"/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>IF(ISBLANK(AC14),IF(COUNTIF($C14:$T14,W$1)&gt;0,"ERROR",""),IF(COUNTIF($C14:$T14,W$1)&lt;1,"NEEDS COVERAGE",IF(COUNTIF($C14:$T14,W$1)&gt;1,"ERROR",IF(ISNA(INDEX($C$1:$T$1,MATCH(W$1,$C14:$T14,0))),"",INDEX($C$1:$T$1,MATCH(W$1,$C14:$T14,0))))))</f>
        <v/>
      </c>
      <c r="X14" s="1" t="str">
        <f>IF(ISBLANK(AD14),IF(COUNTIF($C14:$T14,X$1)&gt;0,"ERROR",""),IF(COUNTIF($C14:$T14,X$1)&lt;1,"NEEDS COVERAGE",IF(COUNTIF($C14:$T14,X$1)&gt;1,"ERROR",IF(ISNA(INDEX($C$1:$T$1,MATCH(X$1,$C14:$T14,0))),"",INDEX($C$1:$T$1,MATCH(X$1,$C14:$T14,0))))))</f>
        <v/>
      </c>
      <c r="Y14" s="1" t="str">
        <f>IF(ISBLANK(AE14),IF(COUNTIF($C14:$T14,Y$1)&gt;0,"ERROR",""),IF(COUNTIF($C14:$T14,Y$1)&lt;1,"NEEDS COVERAGE",IF(COUNTIF($C14:$T14,Y$1)&gt;1,"ERROR",IF(ISNA(INDEX($C$1:$T$1,MATCH(Y$1,$C14:$T14,0))),"",INDEX($C$1:$T$1,MATCH(Y$1,$C14:$T14,0))))))</f>
        <v/>
      </c>
      <c r="Z14" s="1" t="str">
        <f>IF(ISBLANK(AF14),IF(COUNTIF($C14:$T14,Z$1)&gt;0,"ERROR",""),IF(COUNTIF($C14:$T14,Z$1)&lt;1,"NEEDS COVERAGE",IF(COUNTIF($C14:$T14,Z$1)&gt;1,"ERROR",IF(ISNA(INDEX($C$1:$T$1,MATCH(Z$1,$C14:$T14,0))),"",INDEX($C$1:$T$1,MATCH(Z$1,$C14:$T14,0))))))</f>
        <v/>
      </c>
      <c r="AA14" s="1" t="str">
        <f>IF(ISBLANK(AG14),IF(COUNTIF($C14:$T14,AA$1)&gt;0,"ERROR",""),IF(COUNTIF($C14:$T14,AA$1)&lt;1,"NEEDS COVERAGE",IF(COUNTIF($C14:$T14,AA$1)&gt;1,"ERROR",IF(ISNA(INDEX($C$1:$T$1,MATCH(AA$1,$C14:$T14,0))),"",INDEX($C$1:$T$1,MATCH(AA$1,$C14:$T14,0))))))</f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4</v>
      </c>
      <c r="B15" s="9">
        <v>14</v>
      </c>
      <c r="C15" s="1"/>
      <c r="D15" s="1"/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>IF(ISBLANK(AC15),IF(COUNTIF($C15:$T15,W$1)&gt;0,"ERROR",""),IF(COUNTIF($C15:$T15,W$1)&lt;1,"NEEDS COVERAGE",IF(COUNTIF($C15:$T15,W$1)&gt;1,"ERROR",IF(ISNA(INDEX($C$1:$T$1,MATCH(W$1,$C15:$T15,0))),"",INDEX($C$1:$T$1,MATCH(W$1,$C15:$T15,0))))))</f>
        <v/>
      </c>
      <c r="X15" s="1" t="str">
        <f>IF(ISBLANK(AD15),IF(COUNTIF($C15:$T15,X$1)&gt;0,"ERROR",""),IF(COUNTIF($C15:$T15,X$1)&lt;1,"NEEDS COVERAGE",IF(COUNTIF($C15:$T15,X$1)&gt;1,"ERROR",IF(ISNA(INDEX($C$1:$T$1,MATCH(X$1,$C15:$T15,0))),"",INDEX($C$1:$T$1,MATCH(X$1,$C15:$T15,0))))))</f>
        <v/>
      </c>
      <c r="Y15" s="1" t="str">
        <f>IF(ISBLANK(AE15),IF(COUNTIF($C15:$T15,Y$1)&gt;0,"ERROR",""),IF(COUNTIF($C15:$T15,Y$1)&lt;1,"NEEDS COVERAGE",IF(COUNTIF($C15:$T15,Y$1)&gt;1,"ERROR",IF(ISNA(INDEX($C$1:$T$1,MATCH(Y$1,$C15:$T15,0))),"",INDEX($C$1:$T$1,MATCH(Y$1,$C15:$T15,0))))))</f>
        <v/>
      </c>
      <c r="Z15" s="1" t="str">
        <f>IF(ISBLANK(AF15),IF(COUNTIF($C15:$T15,Z$1)&gt;0,"ERROR",""),IF(COUNTIF($C15:$T15,Z$1)&lt;1,"NEEDS COVERAGE",IF(COUNTIF($C15:$T15,Z$1)&gt;1,"ERROR",IF(ISNA(INDEX($C$1:$T$1,MATCH(Z$1,$C15:$T15,0))),"",INDEX($C$1:$T$1,MATCH(Z$1,$C15:$T15,0))))))</f>
        <v/>
      </c>
      <c r="AA15" s="1" t="str">
        <f>IF(ISBLANK(AG15),IF(COUNTIF($C15:$T15,AA$1)&gt;0,"ERROR",""),IF(COUNTIF($C15:$T15,AA$1)&lt;1,"NEEDS COVERAGE",IF(COUNTIF($C15:$T15,AA$1)&gt;1,"ERROR",IF(ISNA(INDEX($C$1:$T$1,MATCH(AA$1,$C15:$T15,0))),"",INDEX($C$1:$T$1,MATCH(AA$1,$C15:$T15,0))))))</f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10</v>
      </c>
      <c r="B16" s="9">
        <v>15</v>
      </c>
      <c r="C16" s="1"/>
      <c r="D16" s="1"/>
      <c r="E16" s="2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" t="str">
        <f>IF(ISBLANK(AC16),IF(COUNTIF($C16:$T16,W$1)&gt;0,"ERROR",""),IF(COUNTIF($C16:$T16,W$1)&lt;1,"NEEDS COVERAGE",IF(COUNTIF($C16:$T16,W$1)&gt;1,"ERROR",IF(ISNA(INDEX($C$1:$T$1,MATCH(W$1,$C16:$T16,0))),"",INDEX($C$1:$T$1,MATCH(W$1,$C16:$T16,0))))))</f>
        <v/>
      </c>
      <c r="X16" s="1" t="str">
        <f>IF(ISBLANK(AD16),IF(COUNTIF($C16:$T16,X$1)&gt;0,"ERROR",""),IF(COUNTIF($C16:$T16,X$1)&lt;1,"NEEDS COVERAGE",IF(COUNTIF($C16:$T16,X$1)&gt;1,"ERROR",IF(ISNA(INDEX($C$1:$T$1,MATCH(X$1,$C16:$T16,0))),"",INDEX($C$1:$T$1,MATCH(X$1,$C16:$T16,0))))))</f>
        <v/>
      </c>
      <c r="Y16" s="1" t="str">
        <f>IF(ISBLANK(AE16),IF(COUNTIF($C16:$T16,Y$1)&gt;0,"ERROR",""),IF(COUNTIF($C16:$T16,Y$1)&lt;1,"NEEDS COVERAGE",IF(COUNTIF($C16:$T16,Y$1)&gt;1,"ERROR",IF(ISNA(INDEX($C$1:$T$1,MATCH(Y$1,$C16:$T16,0))),"",INDEX($C$1:$T$1,MATCH(Y$1,$C16:$T16,0))))))</f>
        <v/>
      </c>
      <c r="Z16" s="1" t="str">
        <f>IF(ISBLANK(AF16),IF(COUNTIF($C16:$T16,Z$1)&gt;0,"ERROR",""),IF(COUNTIF($C16:$T16,Z$1)&lt;1,"NEEDS COVERAGE",IF(COUNTIF($C16:$T16,Z$1)&gt;1,"ERROR",IF(ISNA(INDEX($C$1:$T$1,MATCH(Z$1,$C16:$T16,0))),"",INDEX($C$1:$T$1,MATCH(Z$1,$C16:$T16,0))))))</f>
        <v/>
      </c>
      <c r="AA16" s="1" t="str">
        <f>IF(ISBLANK(AG16),IF(COUNTIF($C16:$T16,AA$1)&gt;0,"ERROR",""),IF(COUNTIF($C16:$T16,AA$1)&lt;1,"NEEDS COVERAGE",IF(COUNTIF($C16:$T16,AA$1)&gt;1,"ERROR",IF(ISNA(INDEX($C$1:$T$1,MATCH(AA$1,$C16:$T16,0))),"",INDEX($C$1:$T$1,MATCH(AA$1,$C16:$T16,0))))))</f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5</v>
      </c>
      <c r="B17" s="9">
        <v>16</v>
      </c>
      <c r="C17" s="1"/>
      <c r="D17" s="1"/>
      <c r="E17" s="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>IF(ISBLANK(AC17),IF(COUNTIF($C17:$T17,W$1)&gt;0,"ERROR",""),IF(COUNTIF($C17:$T17,W$1)&lt;1,"NEEDS COVERAGE",IF(COUNTIF($C17:$T17,W$1)&gt;1,"ERROR",IF(ISNA(INDEX($C$1:$T$1,MATCH(W$1,$C17:$T17,0))),"",INDEX($C$1:$T$1,MATCH(W$1,$C17:$T17,0))))))</f>
        <v/>
      </c>
      <c r="X17" s="1" t="str">
        <f>IF(ISBLANK(AD17),IF(COUNTIF($C17:$T17,X$1)&gt;0,"ERROR",""),IF(COUNTIF($C17:$T17,X$1)&lt;1,"NEEDS COVERAGE",IF(COUNTIF($C17:$T17,X$1)&gt;1,"ERROR",IF(ISNA(INDEX($C$1:$T$1,MATCH(X$1,$C17:$T17,0))),"",INDEX($C$1:$T$1,MATCH(X$1,$C17:$T17,0))))))</f>
        <v/>
      </c>
      <c r="Y17" s="1" t="str">
        <f>IF(ISBLANK(AE17),IF(COUNTIF($C17:$T17,Y$1)&gt;0,"ERROR",""),IF(COUNTIF($C17:$T17,Y$1)&lt;1,"NEEDS COVERAGE",IF(COUNTIF($C17:$T17,Y$1)&gt;1,"ERROR",IF(ISNA(INDEX($C$1:$T$1,MATCH(Y$1,$C17:$T17,0))),"",INDEX($C$1:$T$1,MATCH(Y$1,$C17:$T17,0))))))</f>
        <v/>
      </c>
      <c r="Z17" s="1" t="str">
        <f>IF(ISBLANK(AF17),IF(COUNTIF($C17:$T17,Z$1)&gt;0,"ERROR",""),IF(COUNTIF($C17:$T17,Z$1)&lt;1,"NEEDS COVERAGE",IF(COUNTIF($C17:$T17,Z$1)&gt;1,"ERROR",IF(ISNA(INDEX($C$1:$T$1,MATCH(Z$1,$C17:$T17,0))),"",INDEX($C$1:$T$1,MATCH(Z$1,$C17:$T17,0))))))</f>
        <v/>
      </c>
      <c r="AA17" s="1" t="str">
        <f>IF(ISBLANK(AG17),IF(COUNTIF($C17:$T17,AA$1)&gt;0,"ERROR",""),IF(COUNTIF($C17:$T17,AA$1)&lt;1,"NEEDS COVERAGE",IF(COUNTIF($C17:$T17,AA$1)&gt;1,"ERROR",IF(ISNA(INDEX($C$1:$T$1,MATCH(AA$1,$C17:$T17,0))),"",INDEX($C$1:$T$1,MATCH(AA$1,$C17:$T17,0))))))</f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6</v>
      </c>
      <c r="B18" s="9">
        <v>17</v>
      </c>
      <c r="C18" s="1"/>
      <c r="D18" s="1"/>
      <c r="E18" s="2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>IF(ISBLANK(AC18),IF(COUNTIF($C18:$T18,W$1)&gt;0,"ERROR",""),IF(COUNTIF($C18:$T18,W$1)&lt;1,"NEEDS COVERAGE",IF(COUNTIF($C18:$T18,W$1)&gt;1,"ERROR",IF(ISNA(INDEX($C$1:$T$1,MATCH(W$1,$C18:$T18,0))),"",INDEX($C$1:$T$1,MATCH(W$1,$C18:$T18,0))))))</f>
        <v/>
      </c>
      <c r="X18" s="1" t="str">
        <f>IF(ISBLANK(AD18),IF(COUNTIF($C18:$T18,X$1)&gt;0,"ERROR",""),IF(COUNTIF($C18:$T18,X$1)&lt;1,"NEEDS COVERAGE",IF(COUNTIF($C18:$T18,X$1)&gt;1,"ERROR",IF(ISNA(INDEX($C$1:$T$1,MATCH(X$1,$C18:$T18,0))),"",INDEX($C$1:$T$1,MATCH(X$1,$C18:$T18,0))))))</f>
        <v/>
      </c>
      <c r="Y18" s="1" t="str">
        <f>IF(ISBLANK(AE18),IF(COUNTIF($C18:$T18,Y$1)&gt;0,"ERROR",""),IF(COUNTIF($C18:$T18,Y$1)&lt;1,"NEEDS COVERAGE",IF(COUNTIF($C18:$T18,Y$1)&gt;1,"ERROR",IF(ISNA(INDEX($C$1:$T$1,MATCH(Y$1,$C18:$T18,0))),"",INDEX($C$1:$T$1,MATCH(Y$1,$C18:$T18,0))))))</f>
        <v/>
      </c>
      <c r="Z18" s="1" t="str">
        <f>IF(ISBLANK(AF18),IF(COUNTIF($C18:$T18,Z$1)&gt;0,"ERROR",""),IF(COUNTIF($C18:$T18,Z$1)&lt;1,"NEEDS COVERAGE",IF(COUNTIF($C18:$T18,Z$1)&gt;1,"ERROR",IF(ISNA(INDEX($C$1:$T$1,MATCH(Z$1,$C18:$T18,0))),"",INDEX($C$1:$T$1,MATCH(Z$1,$C18:$T18,0))))))</f>
        <v/>
      </c>
      <c r="AA18" s="1" t="str">
        <f>IF(ISBLANK(AG18),IF(COUNTIF($C18:$T18,AA$1)&gt;0,"ERROR",""),IF(COUNTIF($C18:$T18,AA$1)&lt;1,"NEEDS COVERAGE",IF(COUNTIF($C18:$T18,AA$1)&gt;1,"ERROR",IF(ISNA(INDEX($C$1:$T$1,MATCH(AA$1,$C18:$T18,0))),"",INDEX($C$1:$T$1,MATCH(AA$1,$C18:$T18,0))))))</f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7</v>
      </c>
      <c r="B19" s="9">
        <v>18</v>
      </c>
      <c r="C19" s="1"/>
      <c r="D19" s="1"/>
      <c r="E19" s="2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>IF(ISBLANK(AC19),IF(COUNTIF($C19:$T19,W$1)&gt;0,"ERROR",""),IF(COUNTIF($C19:$T19,W$1)&lt;1,"NEEDS COVERAGE",IF(COUNTIF($C19:$T19,W$1)&gt;1,"ERROR",IF(ISNA(INDEX($C$1:$T$1,MATCH(W$1,$C19:$T19,0))),"",INDEX($C$1:$T$1,MATCH(W$1,$C19:$T19,0))))))</f>
        <v/>
      </c>
      <c r="X19" s="1" t="str">
        <f>IF(ISBLANK(AD19),IF(COUNTIF($C19:$T19,X$1)&gt;0,"ERROR",""),IF(COUNTIF($C19:$T19,X$1)&lt;1,"NEEDS COVERAGE",IF(COUNTIF($C19:$T19,X$1)&gt;1,"ERROR",IF(ISNA(INDEX($C$1:$T$1,MATCH(X$1,$C19:$T19,0))),"",INDEX($C$1:$T$1,MATCH(X$1,$C19:$T19,0))))))</f>
        <v/>
      </c>
      <c r="Y19" s="1" t="str">
        <f>IF(ISBLANK(AE19),IF(COUNTIF($C19:$T19,Y$1)&gt;0,"ERROR",""),IF(COUNTIF($C19:$T19,Y$1)&lt;1,"NEEDS COVERAGE",IF(COUNTIF($C19:$T19,Y$1)&gt;1,"ERROR",IF(ISNA(INDEX($C$1:$T$1,MATCH(Y$1,$C19:$T19,0))),"",INDEX($C$1:$T$1,MATCH(Y$1,$C19:$T19,0))))))</f>
        <v/>
      </c>
      <c r="Z19" s="1" t="str">
        <f>IF(ISBLANK(AF19),IF(COUNTIF($C19:$T19,Z$1)&gt;0,"ERROR",""),IF(COUNTIF($C19:$T19,Z$1)&lt;1,"NEEDS COVERAGE",IF(COUNTIF($C19:$T19,Z$1)&gt;1,"ERROR",IF(ISNA(INDEX($C$1:$T$1,MATCH(Z$1,$C19:$T19,0))),"",INDEX($C$1:$T$1,MATCH(Z$1,$C19:$T19,0))))))</f>
        <v/>
      </c>
      <c r="AA19" s="1" t="str">
        <f>IF(ISBLANK(AG19),IF(COUNTIF($C19:$T19,AA$1)&gt;0,"ERROR",""),IF(COUNTIF($C19:$T19,AA$1)&lt;1,"NEEDS COVERAGE",IF(COUNTIF($C19:$T19,AA$1)&gt;1,"ERROR",IF(ISNA(INDEX($C$1:$T$1,MATCH(AA$1,$C19:$T19,0))),"",INDEX($C$1:$T$1,MATCH(AA$1,$C19:$T19,0))))))</f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8</v>
      </c>
      <c r="B20" s="9">
        <v>19</v>
      </c>
      <c r="C20" s="1"/>
      <c r="D20" s="1"/>
      <c r="E20" s="2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W20" s="1" t="str">
        <f>IF(ISBLANK(AC20),IF(COUNTIF($C20:$T20,W$1)&gt;0,"ERROR",""),IF(COUNTIF($C20:$T20,W$1)&lt;1,"NEEDS COVERAGE",IF(COUNTIF($C20:$T20,W$1)&gt;1,"ERROR",IF(ISNA(INDEX($C$1:$T$1,MATCH(W$1,$C20:$T20,0))),"",INDEX($C$1:$T$1,MATCH(W$1,$C20:$T20,0))))))</f>
        <v/>
      </c>
      <c r="X20" s="1" t="str">
        <f>IF(ISBLANK(AD20),IF(COUNTIF($C20:$T20,X$1)&gt;0,"ERROR",""),IF(COUNTIF($C20:$T20,X$1)&lt;1,"NEEDS COVERAGE",IF(COUNTIF($C20:$T20,X$1)&gt;1,"ERROR",IF(ISNA(INDEX($C$1:$T$1,MATCH(X$1,$C20:$T20,0))),"",INDEX($C$1:$T$1,MATCH(X$1,$C20:$T20,0))))))</f>
        <v/>
      </c>
      <c r="Y20" s="1" t="str">
        <f>IF(ISBLANK(AE20),IF(COUNTIF($C20:$T20,Y$1)&gt;0,"ERROR",""),IF(COUNTIF($C20:$T20,Y$1)&lt;1,"NEEDS COVERAGE",IF(COUNTIF($C20:$T20,Y$1)&gt;1,"ERROR",IF(ISNA(INDEX($C$1:$T$1,MATCH(Y$1,$C20:$T20,0))),"",INDEX($C$1:$T$1,MATCH(Y$1,$C20:$T20,0))))))</f>
        <v/>
      </c>
      <c r="Z20" s="1" t="str">
        <f>IF(ISBLANK(AF20),IF(COUNTIF($C20:$T20,Z$1)&gt;0,"ERROR",""),IF(COUNTIF($C20:$T20,Z$1)&lt;1,"NEEDS COVERAGE",IF(COUNTIF($C20:$T20,Z$1)&gt;1,"ERROR",IF(ISNA(INDEX($C$1:$T$1,MATCH(Z$1,$C20:$T20,0))),"",INDEX($C$1:$T$1,MATCH(Z$1,$C20:$T20,0))))))</f>
        <v/>
      </c>
      <c r="AA20" s="1" t="str">
        <f>IF(ISBLANK(AG20),IF(COUNTIF($C20:$T20,AA$1)&gt;0,"ERROR",""),IF(COUNTIF($C20:$T20,AA$1)&lt;1,"NEEDS COVERAGE",IF(COUNTIF($C20:$T20,AA$1)&gt;1,"ERROR",IF(ISNA(INDEX($C$1:$T$1,MATCH(AA$1,$C20:$T20,0))),"",INDEX($C$1:$T$1,MATCH(AA$1,$C20:$T20,0))))))</f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9</v>
      </c>
      <c r="B21" s="9">
        <v>20</v>
      </c>
      <c r="C21" s="1"/>
      <c r="D21" s="1"/>
      <c r="E21" s="2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W21" s="1" t="str">
        <f>IF(ISBLANK(AC21),IF(COUNTIF($C21:$T21,W$1)&gt;0,"ERROR",""),IF(COUNTIF($C21:$T21,W$1)&lt;1,"NEEDS COVERAGE",IF(COUNTIF($C21:$T21,W$1)&gt;1,"ERROR",IF(ISNA(INDEX($C$1:$T$1,MATCH(W$1,$C21:$T21,0))),"",INDEX($C$1:$T$1,MATCH(W$1,$C21:$T21,0))))))</f>
        <v/>
      </c>
      <c r="X21" s="1" t="str">
        <f>IF(ISBLANK(AD21),IF(COUNTIF($C21:$T21,X$1)&gt;0,"ERROR",""),IF(COUNTIF($C21:$T21,X$1)&lt;1,"NEEDS COVERAGE",IF(COUNTIF($C21:$T21,X$1)&gt;1,"ERROR",IF(ISNA(INDEX($C$1:$T$1,MATCH(X$1,$C21:$T21,0))),"",INDEX($C$1:$T$1,MATCH(X$1,$C21:$T21,0))))))</f>
        <v/>
      </c>
      <c r="Y21" s="1" t="str">
        <f>IF(ISBLANK(AE21),IF(COUNTIF($C21:$T21,Y$1)&gt;0,"ERROR",""),IF(COUNTIF($C21:$T21,Y$1)&lt;1,"NEEDS COVERAGE",IF(COUNTIF($C21:$T21,Y$1)&gt;1,"ERROR",IF(ISNA(INDEX($C$1:$T$1,MATCH(Y$1,$C21:$T21,0))),"",INDEX($C$1:$T$1,MATCH(Y$1,$C21:$T21,0))))))</f>
        <v/>
      </c>
      <c r="Z21" s="1" t="str">
        <f>IF(ISBLANK(AF21),IF(COUNTIF($C21:$T21,Z$1)&gt;0,"ERROR",""),IF(COUNTIF($C21:$T21,Z$1)&lt;1,"NEEDS COVERAGE",IF(COUNTIF($C21:$T21,Z$1)&gt;1,"ERROR",IF(ISNA(INDEX($C$1:$T$1,MATCH(Z$1,$C21:$T21,0))),"",INDEX($C$1:$T$1,MATCH(Z$1,$C21:$T21,0))))))</f>
        <v/>
      </c>
      <c r="AA21" s="1" t="str">
        <f>IF(ISBLANK(AG21),IF(COUNTIF($C21:$T21,AA$1)&gt;0,"ERROR",""),IF(COUNTIF($C21:$T21,AA$1)&lt;1,"NEEDS COVERAGE",IF(COUNTIF($C21:$T21,AA$1)&gt;1,"ERROR",IF(ISNA(INDEX($C$1:$T$1,MATCH(AA$1,$C21:$T21,0))),"",INDEX($C$1:$T$1,MATCH(AA$1,$C21:$T21,0))))))</f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4</v>
      </c>
      <c r="B22" s="9">
        <v>21</v>
      </c>
      <c r="C22" s="1"/>
      <c r="D22" s="1"/>
      <c r="E22" s="2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W22" s="1" t="str">
        <f>IF(ISBLANK(AC22),IF(COUNTIF($C22:$T22,W$1)&gt;0,"ERROR",""),IF(COUNTIF($C22:$T22,W$1)&lt;1,"NEEDS COVERAGE",IF(COUNTIF($C22:$T22,W$1)&gt;1,"ERROR",IF(ISNA(INDEX($C$1:$T$1,MATCH(W$1,$C22:$T22,0))),"",INDEX($C$1:$T$1,MATCH(W$1,$C22:$T22,0))))))</f>
        <v/>
      </c>
      <c r="X22" s="1" t="str">
        <f>IF(ISBLANK(AD22),IF(COUNTIF($C22:$T22,X$1)&gt;0,"ERROR",""),IF(COUNTIF($C22:$T22,X$1)&lt;1,"NEEDS COVERAGE",IF(COUNTIF($C22:$T22,X$1)&gt;1,"ERROR",IF(ISNA(INDEX($C$1:$T$1,MATCH(X$1,$C22:$T22,0))),"",INDEX($C$1:$T$1,MATCH(X$1,$C22:$T22,0))))))</f>
        <v/>
      </c>
      <c r="Y22" s="1" t="str">
        <f>IF(ISBLANK(AE22),IF(COUNTIF($C22:$T22,Y$1)&gt;0,"ERROR",""),IF(COUNTIF($C22:$T22,Y$1)&lt;1,"NEEDS COVERAGE",IF(COUNTIF($C22:$T22,Y$1)&gt;1,"ERROR",IF(ISNA(INDEX($C$1:$T$1,MATCH(Y$1,$C22:$T22,0))),"",INDEX($C$1:$T$1,MATCH(Y$1,$C22:$T22,0))))))</f>
        <v/>
      </c>
      <c r="Z22" s="1" t="str">
        <f>IF(ISBLANK(AF22),IF(COUNTIF($C22:$T22,Z$1)&gt;0,"ERROR",""),IF(COUNTIF($C22:$T22,Z$1)&lt;1,"NEEDS COVERAGE",IF(COUNTIF($C22:$T22,Z$1)&gt;1,"ERROR",IF(ISNA(INDEX($C$1:$T$1,MATCH(Z$1,$C22:$T22,0))),"",INDEX($C$1:$T$1,MATCH(Z$1,$C22:$T22,0))))))</f>
        <v/>
      </c>
      <c r="AA22" s="1" t="str">
        <f>IF(ISBLANK(AG22),IF(COUNTIF($C22:$T22,AA$1)&gt;0,"ERROR",""),IF(COUNTIF($C22:$T22,AA$1)&lt;1,"NEEDS COVERAGE",IF(COUNTIF($C22:$T22,AA$1)&gt;1,"ERROR",IF(ISNA(INDEX($C$1:$T$1,MATCH(AA$1,$C22:$T22,0))),"",INDEX($C$1:$T$1,MATCH(AA$1,$C22:$T22,0))))))</f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10</v>
      </c>
      <c r="B23" s="9">
        <v>22</v>
      </c>
      <c r="C23" s="1"/>
      <c r="D23" s="1"/>
      <c r="E23" s="2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W23" s="1" t="str">
        <f>IF(ISBLANK(AC23),IF(COUNTIF($C23:$T23,W$1)&gt;0,"ERROR",""),IF(COUNTIF($C23:$T23,W$1)&lt;1,"NEEDS COVERAGE",IF(COUNTIF($C23:$T23,W$1)&gt;1,"ERROR",IF(ISNA(INDEX($C$1:$T$1,MATCH(W$1,$C23:$T23,0))),"",INDEX($C$1:$T$1,MATCH(W$1,$C23:$T23,0))))))</f>
        <v/>
      </c>
      <c r="X23" s="1" t="str">
        <f>IF(ISBLANK(AD23),IF(COUNTIF($C23:$T23,X$1)&gt;0,"ERROR",""),IF(COUNTIF($C23:$T23,X$1)&lt;1,"NEEDS COVERAGE",IF(COUNTIF($C23:$T23,X$1)&gt;1,"ERROR",IF(ISNA(INDEX($C$1:$T$1,MATCH(X$1,$C23:$T23,0))),"",INDEX($C$1:$T$1,MATCH(X$1,$C23:$T23,0))))))</f>
        <v/>
      </c>
      <c r="Y23" s="1" t="str">
        <f>IF(ISBLANK(AE23),IF(COUNTIF($C23:$T23,Y$1)&gt;0,"ERROR",""),IF(COUNTIF($C23:$T23,Y$1)&lt;1,"NEEDS COVERAGE",IF(COUNTIF($C23:$T23,Y$1)&gt;1,"ERROR",IF(ISNA(INDEX($C$1:$T$1,MATCH(Y$1,$C23:$T23,0))),"",INDEX($C$1:$T$1,MATCH(Y$1,$C23:$T23,0))))))</f>
        <v/>
      </c>
      <c r="Z23" s="1" t="str">
        <f>IF(ISBLANK(AF23),IF(COUNTIF($C23:$T23,Z$1)&gt;0,"ERROR",""),IF(COUNTIF($C23:$T23,Z$1)&lt;1,"NEEDS COVERAGE",IF(COUNTIF($C23:$T23,Z$1)&gt;1,"ERROR",IF(ISNA(INDEX($C$1:$T$1,MATCH(Z$1,$C23:$T23,0))),"",INDEX($C$1:$T$1,MATCH(Z$1,$C23:$T23,0))))))</f>
        <v/>
      </c>
      <c r="AA23" s="1" t="str">
        <f>IF(ISBLANK(AG23),IF(COUNTIF($C23:$T23,AA$1)&gt;0,"ERROR",""),IF(COUNTIF($C23:$T23,AA$1)&lt;1,"NEEDS COVERAGE",IF(COUNTIF($C23:$T23,AA$1)&gt;1,"ERROR",IF(ISNA(INDEX($C$1:$T$1,MATCH(AA$1,$C23:$T23,0))),"",INDEX($C$1:$T$1,MATCH(AA$1,$C23:$T23,0))))))</f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5</v>
      </c>
      <c r="B24" s="9">
        <v>23</v>
      </c>
      <c r="C24" s="1"/>
      <c r="D24" s="1"/>
      <c r="E24" s="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W24" s="1" t="str">
        <f>IF(ISBLANK(AC24),IF(COUNTIF($C24:$T24,W$1)&gt;0,"ERROR",""),IF(COUNTIF($C24:$T24,W$1)&lt;1,"NEEDS COVERAGE",IF(COUNTIF($C24:$T24,W$1)&gt;1,"ERROR",IF(ISNA(INDEX($C$1:$T$1,MATCH(W$1,$C24:$T24,0))),"",INDEX($C$1:$T$1,MATCH(W$1,$C24:$T24,0))))))</f>
        <v/>
      </c>
      <c r="X24" s="1" t="str">
        <f>IF(ISBLANK(AD24),IF(COUNTIF($C24:$T24,X$1)&gt;0,"ERROR",""),IF(COUNTIF($C24:$T24,X$1)&lt;1,"NEEDS COVERAGE",IF(COUNTIF($C24:$T24,X$1)&gt;1,"ERROR",IF(ISNA(INDEX($C$1:$T$1,MATCH(X$1,$C24:$T24,0))),"",INDEX($C$1:$T$1,MATCH(X$1,$C24:$T24,0))))))</f>
        <v/>
      </c>
      <c r="Y24" s="1" t="str">
        <f>IF(ISBLANK(AE24),IF(COUNTIF($C24:$T24,Y$1)&gt;0,"ERROR",""),IF(COUNTIF($C24:$T24,Y$1)&lt;1,"NEEDS COVERAGE",IF(COUNTIF($C24:$T24,Y$1)&gt;1,"ERROR",IF(ISNA(INDEX($C$1:$T$1,MATCH(Y$1,$C24:$T24,0))),"",INDEX($C$1:$T$1,MATCH(Y$1,$C24:$T24,0))))))</f>
        <v/>
      </c>
      <c r="Z24" s="1" t="str">
        <f>IF(ISBLANK(AF24),IF(COUNTIF($C24:$T24,Z$1)&gt;0,"ERROR",""),IF(COUNTIF($C24:$T24,Z$1)&lt;1,"NEEDS COVERAGE",IF(COUNTIF($C24:$T24,Z$1)&gt;1,"ERROR",IF(ISNA(INDEX($C$1:$T$1,MATCH(Z$1,$C24:$T24,0))),"",INDEX($C$1:$T$1,MATCH(Z$1,$C24:$T24,0))))))</f>
        <v/>
      </c>
      <c r="AA24" s="1" t="str">
        <f>IF(ISBLANK(AG24),IF(COUNTIF($C24:$T24,AA$1)&gt;0,"ERROR",""),IF(COUNTIF($C24:$T24,AA$1)&lt;1,"NEEDS COVERAGE",IF(COUNTIF($C24:$T24,AA$1)&gt;1,"ERROR",IF(ISNA(INDEX($C$1:$T$1,MATCH(AA$1,$C24:$T24,0))),"",INDEX($C$1:$T$1,MATCH(AA$1,$C24:$T24,0))))))</f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6</v>
      </c>
      <c r="B25" s="9">
        <v>24</v>
      </c>
      <c r="C25" s="1"/>
      <c r="D25" s="1"/>
      <c r="E25" s="2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W25" s="1" t="str">
        <f>IF(ISBLANK(AC25),IF(COUNTIF($C25:$T25,W$1)&gt;0,"ERROR",""),IF(COUNTIF($C25:$T25,W$1)&lt;1,"NEEDS COVERAGE",IF(COUNTIF($C25:$T25,W$1)&gt;1,"ERROR",IF(ISNA(INDEX($C$1:$T$1,MATCH(W$1,$C25:$T25,0))),"",INDEX($C$1:$T$1,MATCH(W$1,$C25:$T25,0))))))</f>
        <v/>
      </c>
      <c r="X25" s="1" t="str">
        <f>IF(ISBLANK(AD25),IF(COUNTIF($C25:$T25,X$1)&gt;0,"ERROR",""),IF(COUNTIF($C25:$T25,X$1)&lt;1,"NEEDS COVERAGE",IF(COUNTIF($C25:$T25,X$1)&gt;1,"ERROR",IF(ISNA(INDEX($C$1:$T$1,MATCH(X$1,$C25:$T25,0))),"",INDEX($C$1:$T$1,MATCH(X$1,$C25:$T25,0))))))</f>
        <v/>
      </c>
      <c r="Y25" s="1" t="str">
        <f>IF(ISBLANK(AE25),IF(COUNTIF($C25:$T25,Y$1)&gt;0,"ERROR",""),IF(COUNTIF($C25:$T25,Y$1)&lt;1,"NEEDS COVERAGE",IF(COUNTIF($C25:$T25,Y$1)&gt;1,"ERROR",IF(ISNA(INDEX($C$1:$T$1,MATCH(Y$1,$C25:$T25,0))),"",INDEX($C$1:$T$1,MATCH(Y$1,$C25:$T25,0))))))</f>
        <v/>
      </c>
      <c r="Z25" s="1" t="str">
        <f>IF(ISBLANK(AF25),IF(COUNTIF($C25:$T25,Z$1)&gt;0,"ERROR",""),IF(COUNTIF($C25:$T25,Z$1)&lt;1,"NEEDS COVERAGE",IF(COUNTIF($C25:$T25,Z$1)&gt;1,"ERROR",IF(ISNA(INDEX($C$1:$T$1,MATCH(Z$1,$C25:$T25,0))),"",INDEX($C$1:$T$1,MATCH(Z$1,$C25:$T25,0))))))</f>
        <v/>
      </c>
      <c r="AA25" s="1" t="str">
        <f>IF(ISBLANK(AG25),IF(COUNTIF($C25:$T25,AA$1)&gt;0,"ERROR",""),IF(COUNTIF($C25:$T25,AA$1)&lt;1,"NEEDS COVERAGE",IF(COUNTIF($C25:$T25,AA$1)&gt;1,"ERROR",IF(ISNA(INDEX($C$1:$T$1,MATCH(AA$1,$C25:$T25,0))),"",INDEX($C$1:$T$1,MATCH(AA$1,$C25:$T25,0))))))</f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7</v>
      </c>
      <c r="B26" s="9">
        <v>25</v>
      </c>
      <c r="C26" s="1"/>
      <c r="D26" s="1"/>
      <c r="E26" s="2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W26" s="1" t="str">
        <f>IF(ISBLANK(AC26),IF(COUNTIF($C26:$T26,W$1)&gt;0,"ERROR",""),IF(COUNTIF($C26:$T26,W$1)&lt;1,"NEEDS COVERAGE",IF(COUNTIF($C26:$T26,W$1)&gt;1,"ERROR",IF(ISNA(INDEX($C$1:$T$1,MATCH(W$1,$C26:$T26,0))),"",INDEX($C$1:$T$1,MATCH(W$1,$C26:$T26,0))))))</f>
        <v/>
      </c>
      <c r="X26" s="1" t="str">
        <f>IF(ISBLANK(AD26),IF(COUNTIF($C26:$T26,X$1)&gt;0,"ERROR",""),IF(COUNTIF($C26:$T26,X$1)&lt;1,"NEEDS COVERAGE",IF(COUNTIF($C26:$T26,X$1)&gt;1,"ERROR",IF(ISNA(INDEX($C$1:$T$1,MATCH(X$1,$C26:$T26,0))),"",INDEX($C$1:$T$1,MATCH(X$1,$C26:$T26,0))))))</f>
        <v/>
      </c>
      <c r="Y26" s="1" t="str">
        <f>IF(ISBLANK(AE26),IF(COUNTIF($C26:$T26,Y$1)&gt;0,"ERROR",""),IF(COUNTIF($C26:$T26,Y$1)&lt;1,"NEEDS COVERAGE",IF(COUNTIF($C26:$T26,Y$1)&gt;1,"ERROR",IF(ISNA(INDEX($C$1:$T$1,MATCH(Y$1,$C26:$T26,0))),"",INDEX($C$1:$T$1,MATCH(Y$1,$C26:$T26,0))))))</f>
        <v/>
      </c>
      <c r="Z26" s="1" t="str">
        <f>IF(ISBLANK(AF26),IF(COUNTIF($C26:$T26,Z$1)&gt;0,"ERROR",""),IF(COUNTIF($C26:$T26,Z$1)&lt;1,"NEEDS COVERAGE",IF(COUNTIF($C26:$T26,Z$1)&gt;1,"ERROR",IF(ISNA(INDEX($C$1:$T$1,MATCH(Z$1,$C26:$T26,0))),"",INDEX($C$1:$T$1,MATCH(Z$1,$C26:$T26,0))))))</f>
        <v/>
      </c>
      <c r="AA26" s="1" t="str">
        <f>IF(ISBLANK(AG26),IF(COUNTIF($C26:$T26,AA$1)&gt;0,"ERROR",""),IF(COUNTIF($C26:$T26,AA$1)&lt;1,"NEEDS COVERAGE",IF(COUNTIF($C26:$T26,AA$1)&gt;1,"ERROR",IF(ISNA(INDEX($C$1:$T$1,MATCH(AA$1,$C26:$T26,0))),"",INDEX($C$1:$T$1,MATCH(AA$1,$C26:$T26,0))))))</f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8</v>
      </c>
      <c r="B27" s="9">
        <v>26</v>
      </c>
      <c r="C27" s="1"/>
      <c r="D27" s="1"/>
      <c r="E27" s="2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W27" s="1" t="str">
        <f>IF(ISBLANK(AC27),IF(COUNTIF($C27:$T27,W$1)&gt;0,"ERROR",""),IF(COUNTIF($C27:$T27,W$1)&lt;1,"NEEDS COVERAGE",IF(COUNTIF($C27:$T27,W$1)&gt;1,"ERROR",IF(ISNA(INDEX($C$1:$T$1,MATCH(W$1,$C27:$T27,0))),"",INDEX($C$1:$T$1,MATCH(W$1,$C27:$T27,0))))))</f>
        <v/>
      </c>
      <c r="X27" s="1" t="str">
        <f>IF(ISBLANK(AD27),IF(COUNTIF($C27:$T27,X$1)&gt;0,"ERROR",""),IF(COUNTIF($C27:$T27,X$1)&lt;1,"NEEDS COVERAGE",IF(COUNTIF($C27:$T27,X$1)&gt;1,"ERROR",IF(ISNA(INDEX($C$1:$T$1,MATCH(X$1,$C27:$T27,0))),"",INDEX($C$1:$T$1,MATCH(X$1,$C27:$T27,0))))))</f>
        <v/>
      </c>
      <c r="Y27" s="1" t="str">
        <f>IF(ISBLANK(AE27),IF(COUNTIF($C27:$T27,Y$1)&gt;0,"ERROR",""),IF(COUNTIF($C27:$T27,Y$1)&lt;1,"NEEDS COVERAGE",IF(COUNTIF($C27:$T27,Y$1)&gt;1,"ERROR",IF(ISNA(INDEX($C$1:$T$1,MATCH(Y$1,$C27:$T27,0))),"",INDEX($C$1:$T$1,MATCH(Y$1,$C27:$T27,0))))))</f>
        <v/>
      </c>
      <c r="Z27" s="1" t="str">
        <f>IF(ISBLANK(AF27),IF(COUNTIF($C27:$T27,Z$1)&gt;0,"ERROR",""),IF(COUNTIF($C27:$T27,Z$1)&lt;1,"NEEDS COVERAGE",IF(COUNTIF($C27:$T27,Z$1)&gt;1,"ERROR",IF(ISNA(INDEX($C$1:$T$1,MATCH(Z$1,$C27:$T27,0))),"",INDEX($C$1:$T$1,MATCH(Z$1,$C27:$T27,0))))))</f>
        <v/>
      </c>
      <c r="AA27" s="1" t="str">
        <f>IF(ISBLANK(AG27),IF(COUNTIF($C27:$T27,AA$1)&gt;0,"ERROR",""),IF(COUNTIF($C27:$T27,AA$1)&lt;1,"NEEDS COVERAGE",IF(COUNTIF($C27:$T27,AA$1)&gt;1,"ERROR",IF(ISNA(INDEX($C$1:$T$1,MATCH(AA$1,$C27:$T27,0))),"",INDEX($C$1:$T$1,MATCH(AA$1,$C27:$T27,0))))))</f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9</v>
      </c>
      <c r="B28" s="9">
        <v>27</v>
      </c>
      <c r="C28" s="1"/>
      <c r="D28" s="1"/>
      <c r="E28" s="2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W28" s="1" t="str">
        <f>IF(ISBLANK(AC28),IF(COUNTIF($C28:$T28,W$1)&gt;0,"ERROR",""),IF(COUNTIF($C28:$T28,W$1)&lt;1,"NEEDS COVERAGE",IF(COUNTIF($C28:$T28,W$1)&gt;1,"ERROR",IF(ISNA(INDEX($C$1:$T$1,MATCH(W$1,$C28:$T28,0))),"",INDEX($C$1:$T$1,MATCH(W$1,$C28:$T28,0))))))</f>
        <v/>
      </c>
      <c r="X28" s="1" t="str">
        <f>IF(ISBLANK(AD28),IF(COUNTIF($C28:$T28,X$1)&gt;0,"ERROR",""),IF(COUNTIF($C28:$T28,X$1)&lt;1,"NEEDS COVERAGE",IF(COUNTIF($C28:$T28,X$1)&gt;1,"ERROR",IF(ISNA(INDEX($C$1:$T$1,MATCH(X$1,$C28:$T28,0))),"",INDEX($C$1:$T$1,MATCH(X$1,$C28:$T28,0))))))</f>
        <v/>
      </c>
      <c r="Y28" s="1" t="str">
        <f>IF(ISBLANK(AE28),IF(COUNTIF($C28:$T28,Y$1)&gt;0,"ERROR",""),IF(COUNTIF($C28:$T28,Y$1)&lt;1,"NEEDS COVERAGE",IF(COUNTIF($C28:$T28,Y$1)&gt;1,"ERROR",IF(ISNA(INDEX($C$1:$T$1,MATCH(Y$1,$C28:$T28,0))),"",INDEX($C$1:$T$1,MATCH(Y$1,$C28:$T28,0))))))</f>
        <v/>
      </c>
      <c r="Z28" s="1" t="str">
        <f>IF(ISBLANK(AF28),IF(COUNTIF($C28:$T28,Z$1)&gt;0,"ERROR",""),IF(COUNTIF($C28:$T28,Z$1)&lt;1,"NEEDS COVERAGE",IF(COUNTIF($C28:$T28,Z$1)&gt;1,"ERROR",IF(ISNA(INDEX($C$1:$T$1,MATCH(Z$1,$C28:$T28,0))),"",INDEX($C$1:$T$1,MATCH(Z$1,$C28:$T28,0))))))</f>
        <v/>
      </c>
      <c r="AA28" s="1" t="str">
        <f>IF(ISBLANK(AG28),IF(COUNTIF($C28:$T28,AA$1)&gt;0,"ERROR",""),IF(COUNTIF($C28:$T28,AA$1)&lt;1,"NEEDS COVERAGE",IF(COUNTIF($C28:$T28,AA$1)&gt;1,"ERROR",IF(ISNA(INDEX($C$1:$T$1,MATCH(AA$1,$C28:$T28,0))),"",INDEX($C$1:$T$1,MATCH(AA$1,$C28:$T28,0))))))</f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4</v>
      </c>
      <c r="B29" s="9">
        <v>28</v>
      </c>
      <c r="C29" s="1"/>
      <c r="D29" s="1"/>
      <c r="E29" s="2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W29" s="1" t="str">
        <f>IF(ISBLANK(AC29),IF(COUNTIF($C29:$T29,W$1)&gt;0,"ERROR",""),IF(COUNTIF($C29:$T29,W$1)&lt;1,"NEEDS COVERAGE",IF(COUNTIF($C29:$T29,W$1)&gt;1,"ERROR",IF(ISNA(INDEX($C$1:$T$1,MATCH(W$1,$C29:$T29,0))),"",INDEX($C$1:$T$1,MATCH(W$1,$C29:$T29,0))))))</f>
        <v/>
      </c>
      <c r="X29" s="1" t="str">
        <f>IF(ISBLANK(AD29),IF(COUNTIF($C29:$T29,X$1)&gt;0,"ERROR",""),IF(COUNTIF($C29:$T29,X$1)&lt;1,"NEEDS COVERAGE",IF(COUNTIF($C29:$T29,X$1)&gt;1,"ERROR",IF(ISNA(INDEX($C$1:$T$1,MATCH(X$1,$C29:$T29,0))),"",INDEX($C$1:$T$1,MATCH(X$1,$C29:$T29,0))))))</f>
        <v/>
      </c>
      <c r="Y29" s="1" t="str">
        <f>IF(ISBLANK(AE29),IF(COUNTIF($C29:$T29,Y$1)&gt;0,"ERROR",""),IF(COUNTIF($C29:$T29,Y$1)&lt;1,"NEEDS COVERAGE",IF(COUNTIF($C29:$T29,Y$1)&gt;1,"ERROR",IF(ISNA(INDEX($C$1:$T$1,MATCH(Y$1,$C29:$T29,0))),"",INDEX($C$1:$T$1,MATCH(Y$1,$C29:$T29,0))))))</f>
        <v/>
      </c>
      <c r="Z29" s="1" t="str">
        <f>IF(ISBLANK(AF29),IF(COUNTIF($C29:$T29,Z$1)&gt;0,"ERROR",""),IF(COUNTIF($C29:$T29,Z$1)&lt;1,"NEEDS COVERAGE",IF(COUNTIF($C29:$T29,Z$1)&gt;1,"ERROR",IF(ISNA(INDEX($C$1:$T$1,MATCH(Z$1,$C29:$T29,0))),"",INDEX($C$1:$T$1,MATCH(Z$1,$C29:$T29,0))))))</f>
        <v/>
      </c>
      <c r="AA29" s="1" t="str">
        <f>IF(ISBLANK(AG29),IF(COUNTIF($C29:$T29,AA$1)&gt;0,"ERROR",""),IF(COUNTIF($C29:$T29,AA$1)&lt;1,"NEEDS COVERAGE",IF(COUNTIF($C29:$T29,AA$1)&gt;1,"ERROR",IF(ISNA(INDEX($C$1:$T$1,MATCH(AA$1,$C29:$T29,0))),"",INDEX($C$1:$T$1,MATCH(AA$1,$C29:$T29,0))))))</f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10</v>
      </c>
      <c r="B30" s="9">
        <v>29</v>
      </c>
      <c r="C30" s="1"/>
      <c r="D30" s="1"/>
      <c r="E30" s="2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W30" s="1" t="str">
        <f>IF(ISBLANK(AC30),IF(COUNTIF($C30:$T30,W$1)&gt;0,"ERROR",""),IF(COUNTIF($C30:$T30,W$1)&lt;1,"NEEDS COVERAGE",IF(COUNTIF($C30:$T30,W$1)&gt;1,"ERROR",IF(ISNA(INDEX($C$1:$T$1,MATCH(W$1,$C30:$T30,0))),"",INDEX($C$1:$T$1,MATCH(W$1,$C30:$T30,0))))))</f>
        <v/>
      </c>
      <c r="X30" s="1" t="str">
        <f>IF(ISBLANK(AD30),IF(COUNTIF($C30:$T30,X$1)&gt;0,"ERROR",""),IF(COUNTIF($C30:$T30,X$1)&lt;1,"NEEDS COVERAGE",IF(COUNTIF($C30:$T30,X$1)&gt;1,"ERROR",IF(ISNA(INDEX($C$1:$T$1,MATCH(X$1,$C30:$T30,0))),"",INDEX($C$1:$T$1,MATCH(X$1,$C30:$T30,0))))))</f>
        <v/>
      </c>
      <c r="Y30" s="1" t="str">
        <f>IF(ISBLANK(AE30),IF(COUNTIF($C30:$T30,Y$1)&gt;0,"ERROR",""),IF(COUNTIF($C30:$T30,Y$1)&lt;1,"NEEDS COVERAGE",IF(COUNTIF($C30:$T30,Y$1)&gt;1,"ERROR",IF(ISNA(INDEX($C$1:$T$1,MATCH(Y$1,$C30:$T30,0))),"",INDEX($C$1:$T$1,MATCH(Y$1,$C30:$T30,0))))))</f>
        <v/>
      </c>
      <c r="Z30" s="1" t="str">
        <f>IF(ISBLANK(AF30),IF(COUNTIF($C30:$T30,Z$1)&gt;0,"ERROR",""),IF(COUNTIF($C30:$T30,Z$1)&lt;1,"NEEDS COVERAGE",IF(COUNTIF($C30:$T30,Z$1)&gt;1,"ERROR",IF(ISNA(INDEX($C$1:$T$1,MATCH(Z$1,$C30:$T30,0))),"",INDEX($C$1:$T$1,MATCH(Z$1,$C30:$T30,0))))))</f>
        <v/>
      </c>
      <c r="AA30" s="1" t="str">
        <f>IF(ISBLANK(AG30),IF(COUNTIF($C30:$T30,AA$1)&gt;0,"ERROR",""),IF(COUNTIF($C30:$T30,AA$1)&lt;1,"NEEDS COVERAGE",IF(COUNTIF($C30:$T30,AA$1)&gt;1,"ERROR",IF(ISNA(INDEX($C$1:$T$1,MATCH(AA$1,$C30:$T30,0))),"",INDEX($C$1:$T$1,MATCH(AA$1,$C30:$T30,0))))))</f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5</v>
      </c>
      <c r="B31" s="9">
        <v>30</v>
      </c>
      <c r="C31" s="1"/>
      <c r="D31" s="1"/>
      <c r="E31" s="2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W31" s="1" t="str">
        <f>IF(ISBLANK(AC31),IF(COUNTIF($C31:$T31,W$1)&gt;0,"ERROR",""),IF(COUNTIF($C31:$T31,W$1)&lt;1,"NEEDS COVERAGE",IF(COUNTIF($C31:$T31,W$1)&gt;1,"ERROR",IF(ISNA(INDEX($C$1:$T$1,MATCH(W$1,$C31:$T31,0))),"",INDEX($C$1:$T$1,MATCH(W$1,$C31:$T31,0))))))</f>
        <v/>
      </c>
      <c r="X31" s="1" t="str">
        <f>IF(ISBLANK(AD31),IF(COUNTIF($C31:$T31,X$1)&gt;0,"ERROR",""),IF(COUNTIF($C31:$T31,X$1)&lt;1,"NEEDS COVERAGE",IF(COUNTIF($C31:$T31,X$1)&gt;1,"ERROR",IF(ISNA(INDEX($C$1:$T$1,MATCH(X$1,$C31:$T31,0))),"",INDEX($C$1:$T$1,MATCH(X$1,$C31:$T31,0))))))</f>
        <v/>
      </c>
      <c r="Y31" s="1" t="str">
        <f>IF(ISBLANK(AE31),IF(COUNTIF($C31:$T31,Y$1)&gt;0,"ERROR",""),IF(COUNTIF($C31:$T31,Y$1)&lt;1,"NEEDS COVERAGE",IF(COUNTIF($C31:$T31,Y$1)&gt;1,"ERROR",IF(ISNA(INDEX($C$1:$T$1,MATCH(Y$1,$C31:$T31,0))),"",INDEX($C$1:$T$1,MATCH(Y$1,$C31:$T31,0))))))</f>
        <v/>
      </c>
      <c r="Z31" s="1" t="str">
        <f>IF(ISBLANK(AF31),IF(COUNTIF($C31:$T31,Z$1)&gt;0,"ERROR",""),IF(COUNTIF($C31:$T31,Z$1)&lt;1,"NEEDS COVERAGE",IF(COUNTIF($C31:$T31,Z$1)&gt;1,"ERROR",IF(ISNA(INDEX($C$1:$T$1,MATCH(Z$1,$C31:$T31,0))),"",INDEX($C$1:$T$1,MATCH(Z$1,$C31:$T31,0))))))</f>
        <v/>
      </c>
      <c r="AA31" s="1" t="str">
        <f>IF(ISBLANK(AG31),IF(COUNTIF($C31:$T31,AA$1)&gt;0,"ERROR",""),IF(COUNTIF($C31:$T31,AA$1)&lt;1,"NEEDS COVERAGE",IF(COUNTIF($C31:$T31,AA$1)&gt;1,"ERROR",IF(ISNA(INDEX($C$1:$T$1,MATCH(AA$1,$C31:$T31,0))),"",INDEX($C$1:$T$1,MATCH(AA$1,$C31:$T31,0))))))</f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6</v>
      </c>
      <c r="B32" s="9">
        <v>31</v>
      </c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/>
      <c r="D34" s="7"/>
      <c r="E34" s="22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0">COUNTIF(C2:C32,"Trauma")+COUNTIF(C2:C32,"CHP*")+COUNTIF(C2:C32,"SHY")+COUNTIF(C2:C32,"CT")</f>
        <v>0</v>
      </c>
      <c r="D35" s="1">
        <f t="shared" si="0"/>
        <v>0</v>
      </c>
      <c r="E35" s="2">
        <f t="shared" si="0"/>
        <v>0</v>
      </c>
      <c r="F35" s="1">
        <f t="shared" si="0"/>
        <v>0</v>
      </c>
      <c r="G35" s="1">
        <f t="shared" si="0"/>
        <v>0</v>
      </c>
      <c r="H35" s="1">
        <f t="shared" si="0"/>
        <v>0</v>
      </c>
      <c r="I35" s="1">
        <f t="shared" si="0"/>
        <v>0</v>
      </c>
      <c r="J35" s="1">
        <f t="shared" si="0"/>
        <v>0</v>
      </c>
      <c r="K35" s="1">
        <f t="shared" si="0"/>
        <v>0</v>
      </c>
      <c r="L35" s="1">
        <f t="shared" ref="L35:R35" si="1">COUNTIF(L2:L32,"Trauma")+COUNTIF(L2:L32,"CHP*")+COUNTIF(L2:L32,"SHY")+COUNTIF(L2:L32,"CT")</f>
        <v>0</v>
      </c>
      <c r="M35" s="1">
        <f t="shared" si="1"/>
        <v>0</v>
      </c>
      <c r="N35" s="1">
        <f t="shared" si="1"/>
        <v>0</v>
      </c>
      <c r="O35" s="1">
        <f t="shared" si="1"/>
        <v>0</v>
      </c>
      <c r="P35" s="1">
        <f t="shared" si="1"/>
        <v>0</v>
      </c>
      <c r="Q35" s="1">
        <f t="shared" si="1"/>
        <v>0</v>
      </c>
      <c r="R35" s="1">
        <f t="shared" si="1"/>
        <v>0</v>
      </c>
      <c r="S35" s="1">
        <f t="shared" si="0"/>
        <v>0</v>
      </c>
      <c r="T35" s="1">
        <f t="shared" si="0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 t="e">
        <f>INT(RIGHT(C34))</f>
        <v>#VALUE!</v>
      </c>
      <c r="D36" s="9" t="e">
        <f t="shared" ref="D36:T36" si="2">INT(RIGHT(D34))</f>
        <v>#VALUE!</v>
      </c>
      <c r="E36" s="19" t="e">
        <f t="shared" si="2"/>
        <v>#VALUE!</v>
      </c>
      <c r="F36" s="9" t="e">
        <f t="shared" si="2"/>
        <v>#VALUE!</v>
      </c>
      <c r="G36" s="9" t="e">
        <f t="shared" si="2"/>
        <v>#VALUE!</v>
      </c>
      <c r="H36" s="9" t="e">
        <f t="shared" si="2"/>
        <v>#VALUE!</v>
      </c>
      <c r="I36" s="9" t="e">
        <f t="shared" si="2"/>
        <v>#VALUE!</v>
      </c>
      <c r="J36" s="9" t="e">
        <f t="shared" si="2"/>
        <v>#VALUE!</v>
      </c>
      <c r="K36" s="9" t="e">
        <f t="shared" si="2"/>
        <v>#VALUE!</v>
      </c>
      <c r="L36" s="9" t="e">
        <f t="shared" ref="L36:R36" si="3">INT(RIGHT(L34))</f>
        <v>#VALUE!</v>
      </c>
      <c r="M36" s="9" t="e">
        <f t="shared" si="3"/>
        <v>#VALUE!</v>
      </c>
      <c r="N36" s="9" t="e">
        <f t="shared" si="3"/>
        <v>#VALUE!</v>
      </c>
      <c r="O36" s="9" t="e">
        <f t="shared" si="3"/>
        <v>#VALUE!</v>
      </c>
      <c r="P36" s="9" t="e">
        <f t="shared" si="3"/>
        <v>#VALUE!</v>
      </c>
      <c r="Q36" s="9" t="e">
        <f t="shared" si="3"/>
        <v>#VALUE!</v>
      </c>
      <c r="R36" s="9" t="e">
        <f t="shared" si="3"/>
        <v>#VALUE!</v>
      </c>
      <c r="S36" s="9" t="e">
        <f t="shared" si="2"/>
        <v>#VALUE!</v>
      </c>
      <c r="T36" s="9" t="e">
        <f t="shared" si="2"/>
        <v>#VALUE!</v>
      </c>
      <c r="U36" s="3" t="e">
        <f>SUM(D36:T36)</f>
        <v>#VALUE!</v>
      </c>
    </row>
    <row r="37" spans="1:33" x14ac:dyDescent="0.4">
      <c r="A37" s="1" t="s">
        <v>30</v>
      </c>
      <c r="B37" s="9"/>
      <c r="C37" s="9" t="e">
        <f t="shared" ref="C37:T37" si="4">C36-C35</f>
        <v>#VALUE!</v>
      </c>
      <c r="D37" s="9" t="e">
        <f t="shared" si="4"/>
        <v>#VALUE!</v>
      </c>
      <c r="E37" s="19" t="e">
        <f t="shared" si="4"/>
        <v>#VALUE!</v>
      </c>
      <c r="F37" s="9" t="e">
        <f t="shared" si="4"/>
        <v>#VALUE!</v>
      </c>
      <c r="G37" s="9" t="e">
        <f t="shared" si="4"/>
        <v>#VALUE!</v>
      </c>
      <c r="H37" s="9" t="e">
        <f t="shared" si="4"/>
        <v>#VALUE!</v>
      </c>
      <c r="I37" s="9" t="e">
        <f t="shared" si="4"/>
        <v>#VALUE!</v>
      </c>
      <c r="J37" s="9" t="e">
        <f t="shared" si="4"/>
        <v>#VALUE!</v>
      </c>
      <c r="K37" s="9" t="e">
        <f t="shared" si="4"/>
        <v>#VALUE!</v>
      </c>
      <c r="L37" s="9" t="e">
        <f t="shared" ref="L37:R37" si="5">L36-L35</f>
        <v>#VALUE!</v>
      </c>
      <c r="M37" s="9" t="e">
        <f t="shared" si="5"/>
        <v>#VALUE!</v>
      </c>
      <c r="N37" s="9" t="e">
        <f t="shared" si="5"/>
        <v>#VALUE!</v>
      </c>
      <c r="O37" s="9" t="e">
        <f t="shared" si="5"/>
        <v>#VALUE!</v>
      </c>
      <c r="P37" s="9" t="e">
        <f t="shared" si="5"/>
        <v>#VALUE!</v>
      </c>
      <c r="Q37" s="9" t="e">
        <f t="shared" si="5"/>
        <v>#VALUE!</v>
      </c>
      <c r="R37" s="9" t="e">
        <f t="shared" si="5"/>
        <v>#VALUE!</v>
      </c>
      <c r="S37" s="9" t="e">
        <f t="shared" si="4"/>
        <v>#VALUE!</v>
      </c>
      <c r="T37" s="9" t="e">
        <f t="shared" si="4"/>
        <v>#VALUE!</v>
      </c>
    </row>
    <row r="38" spans="1:33" x14ac:dyDescent="0.4">
      <c r="A38" s="1" t="s">
        <v>29</v>
      </c>
      <c r="B38" s="9"/>
      <c r="C38" s="9"/>
      <c r="D38" s="9"/>
      <c r="E38" s="1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6">COUNTIF(C$2:C$32,$A39)</f>
        <v>0</v>
      </c>
      <c r="D39" s="9">
        <f t="shared" si="6"/>
        <v>0</v>
      </c>
      <c r="E39" s="19">
        <f t="shared" si="6"/>
        <v>0</v>
      </c>
      <c r="F39" s="9">
        <f t="shared" si="6"/>
        <v>0</v>
      </c>
      <c r="G39" s="9">
        <f t="shared" si="6"/>
        <v>0</v>
      </c>
      <c r="H39" s="9">
        <f t="shared" si="6"/>
        <v>0</v>
      </c>
      <c r="I39" s="9">
        <f t="shared" si="6"/>
        <v>0</v>
      </c>
      <c r="J39" s="9">
        <f t="shared" si="6"/>
        <v>0</v>
      </c>
      <c r="K39" s="9">
        <f t="shared" si="6"/>
        <v>0</v>
      </c>
      <c r="L39" s="9">
        <f t="shared" si="6"/>
        <v>0</v>
      </c>
      <c r="M39" s="9">
        <f t="shared" si="6"/>
        <v>0</v>
      </c>
      <c r="N39" s="9">
        <f t="shared" si="6"/>
        <v>0</v>
      </c>
      <c r="O39" s="9">
        <f t="shared" si="6"/>
        <v>0</v>
      </c>
      <c r="P39" s="9">
        <f t="shared" si="6"/>
        <v>0</v>
      </c>
      <c r="Q39" s="9">
        <f t="shared" si="6"/>
        <v>0</v>
      </c>
      <c r="R39" s="9">
        <f t="shared" si="6"/>
        <v>0</v>
      </c>
      <c r="S39" s="9">
        <f t="shared" ref="C39:T43" si="7">COUNTIF(S$2:S$32,$A39)</f>
        <v>0</v>
      </c>
      <c r="T39" s="9">
        <f t="shared" si="7"/>
        <v>0</v>
      </c>
    </row>
    <row r="40" spans="1:33" x14ac:dyDescent="0.4">
      <c r="A40" s="1" t="s">
        <v>22</v>
      </c>
      <c r="B40" s="9"/>
      <c r="C40" s="9">
        <f t="shared" si="7"/>
        <v>0</v>
      </c>
      <c r="D40" s="9">
        <f t="shared" si="7"/>
        <v>0</v>
      </c>
      <c r="E40" s="19">
        <f t="shared" si="7"/>
        <v>0</v>
      </c>
      <c r="F40" s="9">
        <f t="shared" si="7"/>
        <v>0</v>
      </c>
      <c r="G40" s="9">
        <f t="shared" si="7"/>
        <v>0</v>
      </c>
      <c r="H40" s="9">
        <f t="shared" si="7"/>
        <v>0</v>
      </c>
      <c r="I40" s="9">
        <f t="shared" si="7"/>
        <v>0</v>
      </c>
      <c r="J40" s="9">
        <f t="shared" si="7"/>
        <v>0</v>
      </c>
      <c r="K40" s="9">
        <f t="shared" si="7"/>
        <v>0</v>
      </c>
      <c r="L40" s="9">
        <f t="shared" si="7"/>
        <v>0</v>
      </c>
      <c r="M40" s="9">
        <f t="shared" si="7"/>
        <v>0</v>
      </c>
      <c r="N40" s="9">
        <f t="shared" si="7"/>
        <v>0</v>
      </c>
      <c r="O40" s="9">
        <f t="shared" si="7"/>
        <v>0</v>
      </c>
      <c r="P40" s="9">
        <f t="shared" si="7"/>
        <v>0</v>
      </c>
      <c r="Q40" s="9">
        <f t="shared" si="7"/>
        <v>0</v>
      </c>
      <c r="R40" s="9">
        <f t="shared" si="7"/>
        <v>0</v>
      </c>
      <c r="S40" s="9">
        <f t="shared" si="7"/>
        <v>0</v>
      </c>
      <c r="T40" s="9">
        <f t="shared" si="7"/>
        <v>0</v>
      </c>
    </row>
    <row r="41" spans="1:33" x14ac:dyDescent="0.4">
      <c r="A41" s="1" t="s">
        <v>21</v>
      </c>
      <c r="B41" s="9"/>
      <c r="C41" s="9">
        <f t="shared" si="7"/>
        <v>0</v>
      </c>
      <c r="D41" s="9">
        <f t="shared" si="7"/>
        <v>0</v>
      </c>
      <c r="E41" s="19">
        <f t="shared" si="7"/>
        <v>0</v>
      </c>
      <c r="F41" s="9">
        <f t="shared" si="7"/>
        <v>0</v>
      </c>
      <c r="G41" s="9">
        <f t="shared" si="7"/>
        <v>0</v>
      </c>
      <c r="H41" s="9">
        <f t="shared" si="7"/>
        <v>0</v>
      </c>
      <c r="I41" s="9">
        <f t="shared" si="7"/>
        <v>0</v>
      </c>
      <c r="J41" s="9">
        <f t="shared" si="7"/>
        <v>0</v>
      </c>
      <c r="K41" s="9">
        <f t="shared" si="7"/>
        <v>0</v>
      </c>
      <c r="L41" s="9">
        <f t="shared" si="7"/>
        <v>0</v>
      </c>
      <c r="M41" s="9">
        <f t="shared" si="7"/>
        <v>0</v>
      </c>
      <c r="N41" s="9">
        <f t="shared" si="7"/>
        <v>0</v>
      </c>
      <c r="O41" s="9">
        <f t="shared" si="7"/>
        <v>0</v>
      </c>
      <c r="P41" s="9">
        <f t="shared" si="7"/>
        <v>0</v>
      </c>
      <c r="Q41" s="9">
        <f t="shared" si="7"/>
        <v>0</v>
      </c>
      <c r="R41" s="9">
        <f t="shared" si="7"/>
        <v>0</v>
      </c>
      <c r="S41" s="9">
        <f t="shared" si="7"/>
        <v>0</v>
      </c>
      <c r="T41" s="9">
        <f t="shared" si="7"/>
        <v>0</v>
      </c>
    </row>
    <row r="42" spans="1:33" x14ac:dyDescent="0.4">
      <c r="A42" s="1" t="s">
        <v>23</v>
      </c>
      <c r="B42" s="9"/>
      <c r="C42" s="9">
        <f t="shared" si="7"/>
        <v>0</v>
      </c>
      <c r="D42" s="9">
        <f t="shared" si="7"/>
        <v>0</v>
      </c>
      <c r="E42" s="19">
        <f t="shared" si="7"/>
        <v>0</v>
      </c>
      <c r="F42" s="9">
        <f t="shared" si="7"/>
        <v>0</v>
      </c>
      <c r="G42" s="9">
        <f t="shared" si="7"/>
        <v>0</v>
      </c>
      <c r="H42" s="9">
        <f t="shared" si="7"/>
        <v>0</v>
      </c>
      <c r="I42" s="9">
        <f t="shared" si="7"/>
        <v>0</v>
      </c>
      <c r="J42" s="9">
        <f t="shared" si="7"/>
        <v>0</v>
      </c>
      <c r="K42" s="9">
        <f t="shared" si="7"/>
        <v>0</v>
      </c>
      <c r="L42" s="9">
        <f t="shared" si="7"/>
        <v>0</v>
      </c>
      <c r="M42" s="9">
        <f t="shared" si="7"/>
        <v>0</v>
      </c>
      <c r="N42" s="9">
        <f t="shared" si="7"/>
        <v>0</v>
      </c>
      <c r="O42" s="9">
        <f t="shared" si="7"/>
        <v>0</v>
      </c>
      <c r="P42" s="9">
        <f t="shared" si="7"/>
        <v>0</v>
      </c>
      <c r="Q42" s="9">
        <f t="shared" si="7"/>
        <v>0</v>
      </c>
      <c r="R42" s="9">
        <f t="shared" si="7"/>
        <v>0</v>
      </c>
      <c r="S42" s="9">
        <f t="shared" si="7"/>
        <v>0</v>
      </c>
      <c r="T42" s="9">
        <f t="shared" si="7"/>
        <v>0</v>
      </c>
    </row>
    <row r="43" spans="1:33" x14ac:dyDescent="0.4">
      <c r="A43" s="1" t="s">
        <v>3</v>
      </c>
      <c r="B43" s="9"/>
      <c r="C43" s="9">
        <f t="shared" si="7"/>
        <v>0</v>
      </c>
      <c r="D43" s="9">
        <f t="shared" si="7"/>
        <v>0</v>
      </c>
      <c r="E43" s="19">
        <f t="shared" si="7"/>
        <v>0</v>
      </c>
      <c r="F43" s="9">
        <f t="shared" si="7"/>
        <v>0</v>
      </c>
      <c r="G43" s="9">
        <f t="shared" si="7"/>
        <v>0</v>
      </c>
      <c r="H43" s="9">
        <f t="shared" si="7"/>
        <v>0</v>
      </c>
      <c r="I43" s="9">
        <f t="shared" si="7"/>
        <v>0</v>
      </c>
      <c r="J43" s="9">
        <f t="shared" si="7"/>
        <v>0</v>
      </c>
      <c r="K43" s="9">
        <f t="shared" si="7"/>
        <v>0</v>
      </c>
      <c r="L43" s="9">
        <f t="shared" si="7"/>
        <v>0</v>
      </c>
      <c r="M43" s="9">
        <f t="shared" si="7"/>
        <v>0</v>
      </c>
      <c r="N43" s="9">
        <f t="shared" si="7"/>
        <v>0</v>
      </c>
      <c r="O43" s="9">
        <f t="shared" si="7"/>
        <v>0</v>
      </c>
      <c r="P43" s="9">
        <f t="shared" si="7"/>
        <v>0</v>
      </c>
      <c r="Q43" s="9">
        <f t="shared" si="7"/>
        <v>0</v>
      </c>
      <c r="R43" s="9">
        <f t="shared" si="7"/>
        <v>0</v>
      </c>
      <c r="S43" s="9">
        <f t="shared" si="7"/>
        <v>0</v>
      </c>
      <c r="T43" s="9">
        <f t="shared" si="7"/>
        <v>0</v>
      </c>
    </row>
    <row r="44" spans="1:33" x14ac:dyDescent="0.4">
      <c r="A44" s="1" t="s">
        <v>5</v>
      </c>
      <c r="C44" s="1">
        <f t="shared" ref="C44:T44" si="8">COUNTIFS(C1:C31,"Trauma",$A1:$A31,$A44)+COUNTIFS(C1:C31,"CHP*",$A1:$A31,$A44)+COUNTIFS(C1:C31,"SHY",$A1:$A31,$A44)+COUNTIFS(C1:C31,"CT",$A1:$A31,$A44)</f>
        <v>0</v>
      </c>
      <c r="D44" s="1">
        <f t="shared" si="8"/>
        <v>0</v>
      </c>
      <c r="E44" s="2">
        <f t="shared" si="8"/>
        <v>0</v>
      </c>
      <c r="F44" s="1">
        <f t="shared" si="8"/>
        <v>0</v>
      </c>
      <c r="G44" s="1">
        <f t="shared" si="8"/>
        <v>0</v>
      </c>
      <c r="H44" s="1">
        <f t="shared" si="8"/>
        <v>0</v>
      </c>
      <c r="I44" s="1">
        <f t="shared" si="8"/>
        <v>0</v>
      </c>
      <c r="J44" s="1">
        <f t="shared" si="8"/>
        <v>0</v>
      </c>
      <c r="K44" s="1">
        <f t="shared" si="8"/>
        <v>0</v>
      </c>
      <c r="L44" s="1">
        <f t="shared" ref="L44:R44" si="9">COUNTIFS(L1:L31,"Trauma",$A1:$A31,$A44)+COUNTIFS(L1:L31,"CHP*",$A1:$A31,$A44)+COUNTIFS(L1:L31,"SHY",$A1:$A31,$A44)+COUNTIFS(L1:L31,"CT",$A1:$A31,$A44)</f>
        <v>0</v>
      </c>
      <c r="M44" s="1">
        <f t="shared" si="9"/>
        <v>0</v>
      </c>
      <c r="N44" s="1">
        <f t="shared" si="9"/>
        <v>0</v>
      </c>
      <c r="O44" s="1">
        <f t="shared" si="9"/>
        <v>0</v>
      </c>
      <c r="P44" s="1">
        <f t="shared" si="9"/>
        <v>0</v>
      </c>
      <c r="Q44" s="1">
        <f t="shared" si="9"/>
        <v>0</v>
      </c>
      <c r="R44" s="1">
        <f t="shared" si="9"/>
        <v>0</v>
      </c>
      <c r="S44" s="1">
        <f t="shared" si="8"/>
        <v>0</v>
      </c>
      <c r="T44" s="1">
        <f t="shared" si="8"/>
        <v>0</v>
      </c>
    </row>
    <row r="45" spans="1:33" x14ac:dyDescent="0.4">
      <c r="A45" s="1" t="s">
        <v>6</v>
      </c>
      <c r="C45" s="1">
        <f t="shared" ref="C45:T45" si="10">COUNTIFS(C2:C32,"Trauma",$A2:$A32,$A45)+COUNTIFS(C2:C32,"CHP*",$A2:$A32,$A45)+COUNTIFS(C2:C32,"SHY",$A2:$A32,$A45)+COUNTIFS(C2:C32,"CT",$A2:$A32,$A45)</f>
        <v>0</v>
      </c>
      <c r="D45" s="1">
        <f t="shared" si="10"/>
        <v>0</v>
      </c>
      <c r="E45" s="2">
        <f t="shared" si="10"/>
        <v>0</v>
      </c>
      <c r="F45" s="1">
        <f t="shared" si="10"/>
        <v>0</v>
      </c>
      <c r="G45" s="1">
        <f t="shared" si="10"/>
        <v>0</v>
      </c>
      <c r="H45" s="1">
        <f t="shared" si="10"/>
        <v>0</v>
      </c>
      <c r="I45" s="1">
        <f t="shared" si="10"/>
        <v>0</v>
      </c>
      <c r="J45" s="1">
        <f t="shared" si="10"/>
        <v>0</v>
      </c>
      <c r="K45" s="1">
        <f t="shared" si="10"/>
        <v>0</v>
      </c>
      <c r="L45" s="1">
        <f t="shared" ref="L45:R45" si="11">COUNTIFS(L2:L32,"Trauma",$A2:$A32,$A45)+COUNTIFS(L2:L32,"CHP*",$A2:$A32,$A45)+COUNTIFS(L2:L32,"SHY",$A2:$A32,$A45)+COUNTIFS(L2:L32,"CT",$A2:$A32,$A45)</f>
        <v>0</v>
      </c>
      <c r="M45" s="1">
        <f t="shared" si="11"/>
        <v>0</v>
      </c>
      <c r="N45" s="1">
        <f t="shared" si="11"/>
        <v>0</v>
      </c>
      <c r="O45" s="1">
        <f t="shared" si="11"/>
        <v>0</v>
      </c>
      <c r="P45" s="1">
        <f t="shared" si="11"/>
        <v>0</v>
      </c>
      <c r="Q45" s="1">
        <f t="shared" si="11"/>
        <v>0</v>
      </c>
      <c r="R45" s="1">
        <f t="shared" si="11"/>
        <v>0</v>
      </c>
      <c r="S45" s="1">
        <f t="shared" si="10"/>
        <v>0</v>
      </c>
      <c r="T45" s="1">
        <f t="shared" si="10"/>
        <v>0</v>
      </c>
    </row>
    <row r="46" spans="1:33" x14ac:dyDescent="0.4">
      <c r="A46" s="1" t="s">
        <v>7</v>
      </c>
      <c r="C46" s="1">
        <f t="shared" ref="C46:T46" si="12">COUNTIFS(C3:C33,"Trauma",$A3:$A33,$A46)+COUNTIFS(C3:C33,"CHP*",$A3:$A33,$A46)+COUNTIFS(C3:C33,"SHY",$A3:$A33,$A46)+COUNTIFS(C3:C33,"CT",$A3:$A33,$A46)</f>
        <v>0</v>
      </c>
      <c r="D46" s="1">
        <f t="shared" si="12"/>
        <v>0</v>
      </c>
      <c r="E46" s="2">
        <f t="shared" si="12"/>
        <v>0</v>
      </c>
      <c r="F46" s="1">
        <f t="shared" si="12"/>
        <v>0</v>
      </c>
      <c r="G46" s="1">
        <f t="shared" si="12"/>
        <v>0</v>
      </c>
      <c r="H46" s="1">
        <f t="shared" si="12"/>
        <v>0</v>
      </c>
      <c r="I46" s="1">
        <f t="shared" si="12"/>
        <v>0</v>
      </c>
      <c r="J46" s="1">
        <f t="shared" si="12"/>
        <v>0</v>
      </c>
      <c r="K46" s="1">
        <f t="shared" si="12"/>
        <v>0</v>
      </c>
      <c r="L46" s="1">
        <f t="shared" ref="L46:R46" si="13">COUNTIFS(L3:L33,"Trauma",$A3:$A33,$A46)+COUNTIFS(L3:L33,"CHP*",$A3:$A33,$A46)+COUNTIFS(L3:L33,"SHY",$A3:$A33,$A46)+COUNTIFS(L3:L33,"CT",$A3:$A33,$A46)</f>
        <v>0</v>
      </c>
      <c r="M46" s="1">
        <f t="shared" si="13"/>
        <v>0</v>
      </c>
      <c r="N46" s="1">
        <f t="shared" si="13"/>
        <v>0</v>
      </c>
      <c r="O46" s="1">
        <f t="shared" si="13"/>
        <v>0</v>
      </c>
      <c r="P46" s="1">
        <f t="shared" si="13"/>
        <v>0</v>
      </c>
      <c r="Q46" s="1">
        <f t="shared" si="13"/>
        <v>0</v>
      </c>
      <c r="R46" s="1">
        <f t="shared" si="13"/>
        <v>0</v>
      </c>
      <c r="S46" s="1">
        <f t="shared" si="12"/>
        <v>0</v>
      </c>
      <c r="T46" s="1">
        <f t="shared" si="12"/>
        <v>0</v>
      </c>
    </row>
    <row r="47" spans="1:33" x14ac:dyDescent="0.4">
      <c r="A47" s="1" t="s">
        <v>25</v>
      </c>
      <c r="C47" s="1">
        <f t="shared" ref="C47:T47" si="14">SUM(C44:C46)</f>
        <v>0</v>
      </c>
      <c r="D47" s="1">
        <f t="shared" si="14"/>
        <v>0</v>
      </c>
      <c r="E47" s="2">
        <f t="shared" si="14"/>
        <v>0</v>
      </c>
      <c r="F47" s="1">
        <f t="shared" si="14"/>
        <v>0</v>
      </c>
      <c r="G47" s="1">
        <f t="shared" si="14"/>
        <v>0</v>
      </c>
      <c r="H47" s="1">
        <f t="shared" si="14"/>
        <v>0</v>
      </c>
      <c r="I47" s="1">
        <f t="shared" si="14"/>
        <v>0</v>
      </c>
      <c r="J47" s="1">
        <f t="shared" si="14"/>
        <v>0</v>
      </c>
      <c r="K47" s="1">
        <f t="shared" si="14"/>
        <v>0</v>
      </c>
      <c r="L47" s="1">
        <f t="shared" ref="L47:R47" si="15">SUM(L44:L46)</f>
        <v>0</v>
      </c>
      <c r="M47" s="1">
        <f t="shared" si="15"/>
        <v>0</v>
      </c>
      <c r="N47" s="1">
        <f t="shared" si="15"/>
        <v>0</v>
      </c>
      <c r="O47" s="1">
        <f t="shared" si="15"/>
        <v>0</v>
      </c>
      <c r="P47" s="1">
        <f t="shared" si="15"/>
        <v>0</v>
      </c>
      <c r="Q47" s="1">
        <f t="shared" si="15"/>
        <v>0</v>
      </c>
      <c r="R47" s="1">
        <f t="shared" si="15"/>
        <v>0</v>
      </c>
      <c r="S47" s="1">
        <f t="shared" si="14"/>
        <v>0</v>
      </c>
      <c r="T47" s="1">
        <f t="shared" si="14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23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16">COUNTIF(C$2:C$32,"x")/$B49</f>
        <v>0</v>
      </c>
      <c r="D49" s="11">
        <f t="shared" si="16"/>
        <v>0</v>
      </c>
      <c r="E49" s="23">
        <f t="shared" si="16"/>
        <v>0</v>
      </c>
      <c r="F49" s="11">
        <f t="shared" si="16"/>
        <v>0</v>
      </c>
      <c r="G49" s="11">
        <f t="shared" si="16"/>
        <v>0</v>
      </c>
      <c r="H49" s="11">
        <f t="shared" si="16"/>
        <v>0</v>
      </c>
      <c r="I49" s="11">
        <f t="shared" si="16"/>
        <v>0</v>
      </c>
      <c r="J49" s="11">
        <f t="shared" si="16"/>
        <v>0</v>
      </c>
      <c r="K49" s="11">
        <f t="shared" si="16"/>
        <v>0</v>
      </c>
      <c r="L49" s="11">
        <f t="shared" si="16"/>
        <v>0</v>
      </c>
      <c r="M49" s="11">
        <f t="shared" si="16"/>
        <v>0</v>
      </c>
      <c r="N49" s="11">
        <f t="shared" si="16"/>
        <v>0</v>
      </c>
      <c r="O49" s="11">
        <f t="shared" si="16"/>
        <v>0</v>
      </c>
      <c r="P49" s="11">
        <f t="shared" si="16"/>
        <v>0</v>
      </c>
      <c r="Q49" s="11">
        <f t="shared" si="16"/>
        <v>0</v>
      </c>
      <c r="R49" s="11">
        <f t="shared" si="16"/>
        <v>0</v>
      </c>
      <c r="S49" s="11">
        <f t="shared" si="16"/>
        <v>0</v>
      </c>
      <c r="T49" s="11">
        <f t="shared" si="16"/>
        <v>0</v>
      </c>
    </row>
    <row r="50" spans="1:20" x14ac:dyDescent="0.4">
      <c r="A50" s="3"/>
      <c r="B50" s="12"/>
      <c r="C50" s="12"/>
      <c r="D50" s="12"/>
      <c r="E50" s="21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12"/>
      <c r="D51" s="12"/>
      <c r="E51" s="21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</row>
    <row r="52" spans="1:20" x14ac:dyDescent="0.4">
      <c r="A52" s="12"/>
      <c r="B52" s="12"/>
      <c r="C52" s="12"/>
      <c r="D52" s="12"/>
      <c r="E52" s="21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21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7" spans="1:20" x14ac:dyDescent="0.4">
      <c r="C57" s="8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2017-06-02T19:18:59Z</dcterms:modified>
</cp:coreProperties>
</file>