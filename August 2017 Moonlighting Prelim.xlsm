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nhXz4gozaLJB7voePrapU1GShV5sdrw4PeKVl4RPjyfODqTYRn7DvIZRw4Tc6+6ICA9yuzo+jLbPIpgkNd1Jxw==" workbookSaltValue="a8buCE5GfSoTKFQkTYdbIw==" workbookSpinCount="100000" lockStructure="1"/>
  <bookViews>
    <workbookView xWindow="0" yWindow="0" windowWidth="15615" windowHeight="3630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N37" i="3" s="1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N47" i="3" s="1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D47" i="3" s="1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H47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5" i="5"/>
  <c r="I35" i="3"/>
  <c r="J35" i="3"/>
  <c r="J35" i="5" s="1"/>
  <c r="K35" i="3"/>
  <c r="K35" i="5" s="1"/>
  <c r="Y3" i="5"/>
  <c r="Y4" i="5"/>
  <c r="X6" i="5"/>
  <c r="X10" i="5"/>
  <c r="Z10" i="5"/>
  <c r="X14" i="5"/>
  <c r="Y15" i="5"/>
  <c r="Z15" i="5"/>
  <c r="X16" i="5"/>
  <c r="Z17" i="5"/>
  <c r="Y18" i="5"/>
  <c r="Y20" i="5"/>
  <c r="Y28" i="5"/>
  <c r="X29" i="5"/>
  <c r="Y30" i="5"/>
  <c r="X31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H37" i="3"/>
  <c r="X38" i="3" l="1"/>
  <c r="X36" i="3"/>
  <c r="X37" i="3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<sst xmlns="http://schemas.openxmlformats.org/spreadsheetml/2006/main" count="454" uniqueCount="86">
  <si>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</si>
  <si>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</si>
  <si>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</si>
  <si>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</si>
  <si>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</si>
  <si>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</si>
  <si>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</si>
  <si>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</si>
  <si>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</si>
  <si>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</si>
  <si>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</si>
  <si>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</si>
  <si>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</si>
  <si>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</si>
  <si>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</si>
  <si>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</si>
  <si>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</si>
  <si>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</si>
  <si>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</si>
  <si>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</si>
  <si>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</si>
  <si>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</si>
  <si>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</si>
  <si>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</si>
  <si>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</si>
  <si>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</si>
  <si>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</si>
  <si>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</si>
  <si>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</si>
  <si>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</si>
  <si>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</si>
  <si>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</si>
  <si>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</si>
  <si>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</si>
  <si>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</si>
  <si>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</si>
  <si>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</si>
  <si>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</si>
  <si>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</si>
  <si>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</si>
  <si>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</si>
  <si>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</si>
  <si>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</si>
  <si>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</si>
  <si>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</si>
  <si>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</si>
  <si>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</si>
  <si>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</si>
  <si>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</si>
  <si>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</si>
  <si>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</si>
  <si>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</si>
  <si>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</si>
  <si>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</si>
  <si>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</si>
  <si>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</si>
  <si>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</si>
  <si>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</si>
  <si>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</si>
  <si>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</si>
  <si>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</si>
  <si>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</si>
  <si>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</si>
  <si>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</si>
  <si>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</si>
  <si>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</si>
  <si>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</si>
  <si>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</si>
  <si>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</si>
  <si>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</si>
  <si>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</si>
  <si>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</si>
  <si>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</si>
  <si>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</si>
  <si>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</si>
  <si>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</si>
  <si>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</si>
  <si>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earlier in month calls</t>
  </si>
  <si>
    <t>Brown</t>
  </si>
  <si>
    <t>Lewis</t>
  </si>
  <si>
    <t>Berkey</t>
  </si>
  <si>
    <t>Layba</t>
  </si>
  <si>
    <t>Cunningham</t>
  </si>
  <si>
    <t>Torres</t>
  </si>
  <si>
    <t>Guardado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</si>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</sst>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NEEDS COVERAGE</v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/>
      </c>
      <c r="O3" s="13">
        <f>IF(ISBLANK(Master!O3),"",Master!O3)</f>
        <v>1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NEEDS COVERAGE</v>
      </c>
      <c r="W3" s="13" t="str">
        <f>IF(ISBLANK(Master!X3),"",Master!X3)</f>
        <v>NEEDS COVERAGE</v>
      </c>
      <c r="X3" s="13" t="str">
        <f>IF(ISBLANK(Master!Y3),"",Master!Y3)</f>
        <v>NEEDS COVERAGE</v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>NEEDS COVERAGE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NEEDS COVERAGE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NEEDS COVERAGE</v>
      </c>
      <c r="W8" s="13" t="str">
        <f>IF(ISBLANK(Master!X8),"",Master!X8)</f>
        <v>NEEDS COVERAGE</v>
      </c>
      <c r="X8" s="13" t="str">
        <f>IF(ISBLANK(Master!Y8),"",Master!Y8)</f>
        <v>NEEDS COVERAGE</v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NEEDS COVERAGE</v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NEEDS COVERAGE</v>
      </c>
      <c r="W12" s="13" t="str">
        <f>IF(ISBLANK(Master!X12),"",Master!X12)</f>
        <v/>
      </c>
      <c r="X12" s="13" t="str">
        <f>IF(ISBLANK(Master!Y12),"",Master!Y12)</f>
        <v>NEEDS COVERAGE</v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NEEDS COVERAGE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>NEEDS COVERAGE</v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NEEDS COVERAGE</v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NEEDS COVERAGE</v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NEEDS COVERAGE</v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NEEDS COVERAGE</v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NEEDS COVERAGE</v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NEEDS COVERAGE</v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/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NEEDS COVERAGE</v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NEEDS COVERAGE</v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5" sqref="D15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5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3" t="s">
        <v>1</v>
      </c>
      <c r="C1" s="1" t="s">
        <v>13</v>
      </c>
      <c r="D1" s="2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 t="s">
        <v>39</v>
      </c>
      <c r="D2" s="2"/>
      <c r="E2" s="1" t="s">
        <v>39</v>
      </c>
      <c r="F2" s="1" t="s">
        <v>39</v>
      </c>
      <c r="G2" s="1"/>
      <c r="H2" s="1"/>
      <c r="I2" s="1"/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NEEDS COVERAGE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25">
      <c r="A3" s="1" t="s">
        <v>4</v>
      </c>
      <c r="B3" s="9">
        <v>2</v>
      </c>
      <c r="C3" s="1" t="s">
        <v>39</v>
      </c>
      <c r="D3" s="2"/>
      <c r="E3" s="1"/>
      <c r="F3" s="1"/>
      <c r="G3" s="1"/>
      <c r="H3" s="1"/>
      <c r="I3" s="1"/>
      <c r="J3" s="1"/>
      <c r="K3" s="1">
        <v>1</v>
      </c>
      <c r="L3" s="1"/>
      <c r="M3" s="1">
        <v>1</v>
      </c>
      <c r="N3" s="1"/>
      <c r="O3" s="1">
        <v>1</v>
      </c>
      <c r="P3" s="1"/>
      <c r="Q3" s="1"/>
      <c r="R3" s="1"/>
      <c r="S3" s="1"/>
      <c r="T3" s="1" t="s">
        <v>39</v>
      </c>
      <c r="V3" s="3" t="s">
        <v>55</v>
      </c>
      <c r="W3" s="1" t="str">
        <f t="shared" si="0"/>
        <v>NEEDS COVERAGE</v>
      </c>
      <c r="X3" s="1" t="str">
        <f t="shared" si="1"/>
        <v>NEEDS COVERAGE</v>
      </c>
      <c r="Y3" s="1" t="str">
        <f t="shared" si="2"/>
        <v>NEEDS COVERAGE</v>
      </c>
      <c r="Z3" s="1" t="str">
        <f t="shared" si="3"/>
        <v/>
      </c>
      <c r="AA3" s="1" t="str">
        <f t="shared" si="4"/>
        <v>NEEDS COVERAGE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25">
      <c r="A4" s="1" t="s">
        <v>10</v>
      </c>
      <c r="B4" s="9">
        <v>3</v>
      </c>
      <c r="C4" s="1" t="s">
        <v>39</v>
      </c>
      <c r="D4" s="2"/>
      <c r="E4" s="1"/>
      <c r="F4" s="1"/>
      <c r="G4" s="1"/>
      <c r="H4" s="1"/>
      <c r="I4" s="1" t="s">
        <v>39</v>
      </c>
      <c r="J4" s="1"/>
      <c r="K4" s="1"/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>NEEDS COVERAGE</v>
      </c>
      <c r="Z4" s="1" t="str">
        <f t="shared" si="3"/>
        <v/>
      </c>
      <c r="AA4" s="1" t="str">
        <f t="shared" si="4"/>
        <v>NEEDS COVERAGE</v>
      </c>
      <c r="AB4" s="1" t="s">
        <v>78</v>
      </c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25">
      <c r="A5" s="1" t="s">
        <v>5</v>
      </c>
      <c r="B5" s="9">
        <v>4</v>
      </c>
      <c r="C5" s="1"/>
      <c r="D5" s="2"/>
      <c r="E5" s="1" t="s">
        <v>39</v>
      </c>
      <c r="F5" s="1"/>
      <c r="G5" s="1" t="s">
        <v>39</v>
      </c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>NEEDS COVERAGE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25">
      <c r="A6" s="1" t="s">
        <v>6</v>
      </c>
      <c r="B6" s="9">
        <v>5</v>
      </c>
      <c r="C6" s="1"/>
      <c r="D6" s="2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/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">
        <v>79</v>
      </c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25">
      <c r="A7" s="1" t="s">
        <v>7</v>
      </c>
      <c r="B7" s="9">
        <v>6</v>
      </c>
      <c r="C7" s="1"/>
      <c r="D7" s="2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/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">
        <v>80</v>
      </c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25">
      <c r="A8" s="1" t="s">
        <v>8</v>
      </c>
      <c r="B8" s="9">
        <v>7</v>
      </c>
      <c r="C8" s="1"/>
      <c r="D8" s="2"/>
      <c r="E8" s="1"/>
      <c r="F8" s="1" t="s">
        <v>39</v>
      </c>
      <c r="G8" s="1"/>
      <c r="H8" s="1" t="s">
        <v>39</v>
      </c>
      <c r="I8" s="1"/>
      <c r="J8" s="1"/>
      <c r="K8" s="1"/>
      <c r="L8" s="1" t="s">
        <v>39</v>
      </c>
      <c r="M8" s="1"/>
      <c r="N8" s="1" t="s">
        <v>39</v>
      </c>
      <c r="O8" s="1" t="s">
        <v>39</v>
      </c>
      <c r="P8" s="1"/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>NEEDS COVERAGE</v>
      </c>
      <c r="X8" s="1" t="str">
        <f t="shared" si="1"/>
        <v>NEEDS COVERAGE</v>
      </c>
      <c r="Y8" s="1" t="str">
        <f t="shared" si="2"/>
        <v>NEEDS COVERAGE</v>
      </c>
      <c r="Z8" s="1" t="str">
        <f t="shared" si="3"/>
        <v/>
      </c>
      <c r="AA8" s="1" t="str">
        <f t="shared" si="4"/>
        <v>NEEDS COVERAGE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25">
      <c r="A9" s="1" t="s">
        <v>9</v>
      </c>
      <c r="B9" s="9">
        <v>8</v>
      </c>
      <c r="C9" s="1" t="s">
        <v>39</v>
      </c>
      <c r="D9" s="2"/>
      <c r="E9" s="1"/>
      <c r="F9" s="1" t="s">
        <v>39</v>
      </c>
      <c r="G9" s="1"/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/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">
        <v>81</v>
      </c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25">
      <c r="A10" s="1" t="s">
        <v>4</v>
      </c>
      <c r="B10" s="9">
        <v>9</v>
      </c>
      <c r="C10" s="1" t="s">
        <v>39</v>
      </c>
      <c r="D10" s="2"/>
      <c r="E10" s="1" t="s">
        <v>39</v>
      </c>
      <c r="F10" s="1" t="s">
        <v>39</v>
      </c>
      <c r="G10" s="1"/>
      <c r="H10" s="1" t="s">
        <v>39</v>
      </c>
      <c r="I10" s="1"/>
      <c r="J10" s="1"/>
      <c r="K10" s="1"/>
      <c r="L10" s="1" t="s">
        <v>39</v>
      </c>
      <c r="M10" s="1"/>
      <c r="N10" s="1" t="s">
        <v>39</v>
      </c>
      <c r="O10" s="1"/>
      <c r="P10" s="1"/>
      <c r="Q10" s="1"/>
      <c r="R10" s="1"/>
      <c r="S10" s="1"/>
      <c r="T10" s="1" t="s">
        <v>39</v>
      </c>
      <c r="V10" s="3" t="s">
        <v>62</v>
      </c>
      <c r="W10" s="1" t="str">
        <f t="shared" si="0"/>
        <v>NEEDS COVERAGE</v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25">
      <c r="A11" s="1" t="s">
        <v>10</v>
      </c>
      <c r="B11" s="9">
        <v>10</v>
      </c>
      <c r="C11" s="1" t="s">
        <v>39</v>
      </c>
      <c r="D11" s="2" t="s">
        <v>39</v>
      </c>
      <c r="E11" s="1" t="s">
        <v>39</v>
      </c>
      <c r="F11" s="1" t="s">
        <v>39</v>
      </c>
      <c r="G11" s="1"/>
      <c r="H11" s="1" t="s">
        <v>39</v>
      </c>
      <c r="I11" s="1"/>
      <c r="J11" s="1"/>
      <c r="K11" s="1"/>
      <c r="L11" s="1"/>
      <c r="M11" s="1"/>
      <c r="N11" s="1" t="s">
        <v>39</v>
      </c>
      <c r="O11" s="1"/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">
        <v>82</v>
      </c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25">
      <c r="A12" s="1" t="s">
        <v>5</v>
      </c>
      <c r="B12" s="9">
        <v>11</v>
      </c>
      <c r="C12" s="1"/>
      <c r="D12" s="2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/>
      <c r="K12" s="1" t="s">
        <v>39</v>
      </c>
      <c r="L12" s="1"/>
      <c r="M12" s="1"/>
      <c r="N12" s="1" t="s">
        <v>39</v>
      </c>
      <c r="O12" s="1"/>
      <c r="P12" s="1" t="s">
        <v>39</v>
      </c>
      <c r="Q12" s="1" t="s">
        <v>39</v>
      </c>
      <c r="R12" s="1"/>
      <c r="S12" s="1"/>
      <c r="T12" s="1" t="s">
        <v>39</v>
      </c>
      <c r="V12" s="3" t="s">
        <v>64</v>
      </c>
      <c r="W12" s="1" t="str">
        <f t="shared" si="0"/>
        <v>NEEDS COVERAGE</v>
      </c>
      <c r="X12" s="1" t="str">
        <f t="shared" si="1"/>
        <v/>
      </c>
      <c r="Y12" s="1" t="str">
        <f t="shared" si="2"/>
        <v>NEEDS COVERAGE</v>
      </c>
      <c r="Z12" s="1" t="str">
        <f t="shared" si="3"/>
        <v/>
      </c>
      <c r="AA12" s="1" t="str">
        <f t="shared" si="4"/>
        <v>NEEDS COVERAGE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25">
      <c r="A13" s="1" t="s">
        <v>6</v>
      </c>
      <c r="B13" s="9">
        <v>12</v>
      </c>
      <c r="C13" s="1"/>
      <c r="D13" s="2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61</v>
      </c>
      <c r="W13" s="1" t="str">
        <f t="shared" si="0"/>
        <v>NEEDS COVERAGE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25">
      <c r="A14" s="1" t="s">
        <v>7</v>
      </c>
      <c r="B14" s="9">
        <v>13</v>
      </c>
      <c r="C14" s="1"/>
      <c r="D14" s="2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/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">
        <v>83</v>
      </c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s="5" customFormat="1" x14ac:dyDescent="0.25">
      <c r="A15" s="2" t="s">
        <v>8</v>
      </c>
      <c r="B15" s="27">
        <v>14</v>
      </c>
      <c r="C15" s="2"/>
      <c r="D15" s="2"/>
      <c r="E15" s="2" t="s">
        <v>39</v>
      </c>
      <c r="F15" s="2" t="s">
        <v>39</v>
      </c>
      <c r="G15" s="2"/>
      <c r="H15" s="2" t="s">
        <v>39</v>
      </c>
      <c r="I15" s="2"/>
      <c r="J15" s="2"/>
      <c r="K15" s="2"/>
      <c r="L15" s="2"/>
      <c r="M15" s="2"/>
      <c r="N15" s="2" t="s">
        <v>39</v>
      </c>
      <c r="O15" s="2" t="s">
        <v>39</v>
      </c>
      <c r="P15" s="2"/>
      <c r="Q15" s="2"/>
      <c r="R15" s="2"/>
      <c r="S15" s="2"/>
      <c r="T15" s="2" t="s">
        <v>39</v>
      </c>
      <c r="V15" s="5" t="s">
        <v>65</v>
      </c>
      <c r="W15" s="2" t="str">
        <f t="shared" si="0"/>
        <v/>
      </c>
      <c r="X15" s="2" t="str">
        <f t="shared" si="1"/>
        <v>NEEDS COVERAGE</v>
      </c>
      <c r="Y15" s="2" t="str">
        <f t="shared" si="2"/>
        <v>NEEDS COVERAGE</v>
      </c>
      <c r="Z15" s="2" t="str">
        <f t="shared" si="3"/>
        <v/>
      </c>
      <c r="AA15" s="2" t="str">
        <f t="shared" si="4"/>
        <v>NEEDS COVERAGE</v>
      </c>
      <c r="AB15" s="2" t="s">
        <v>81</v>
      </c>
      <c r="AC15" s="2"/>
      <c r="AD15" s="2" t="s">
        <v>39</v>
      </c>
      <c r="AE15" s="2" t="s">
        <v>39</v>
      </c>
      <c r="AF15" s="2"/>
      <c r="AG15" s="2" t="s">
        <v>39</v>
      </c>
      <c r="AI15" s="31"/>
      <c r="AJ15" s="33"/>
      <c r="AK15" s="32"/>
    </row>
    <row r="16" spans="1:37" x14ac:dyDescent="0.25">
      <c r="A16" s="1" t="s">
        <v>9</v>
      </c>
      <c r="B16" s="9">
        <v>15</v>
      </c>
      <c r="C16" s="1" t="s">
        <v>39</v>
      </c>
      <c r="D16" s="2" t="s">
        <v>39</v>
      </c>
      <c r="E16" s="1" t="s">
        <v>39</v>
      </c>
      <c r="F16" s="1" t="s">
        <v>39</v>
      </c>
      <c r="G16" s="1"/>
      <c r="H16" s="1" t="s">
        <v>39</v>
      </c>
      <c r="I16" s="1"/>
      <c r="J16" s="1"/>
      <c r="K16" s="1" t="s">
        <v>39</v>
      </c>
      <c r="L16" s="1"/>
      <c r="M16" s="1"/>
      <c r="N16" s="1" t="s">
        <v>39</v>
      </c>
      <c r="O16" s="1"/>
      <c r="P16" s="1"/>
      <c r="Q16" s="1"/>
      <c r="R16" s="1"/>
      <c r="S16" s="1"/>
      <c r="T16" s="1" t="s">
        <v>39</v>
      </c>
      <c r="V16" s="25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">
        <v>84</v>
      </c>
      <c r="AC16" s="1"/>
      <c r="AD16" s="1" t="s">
        <v>39</v>
      </c>
      <c r="AE16" s="1"/>
      <c r="AF16" s="1"/>
      <c r="AG16" s="1" t="s">
        <v>39</v>
      </c>
      <c r="AI16" s="18"/>
      <c r="AJ16" s="21"/>
      <c r="AK16" s="20"/>
    </row>
    <row r="17" spans="1:37" x14ac:dyDescent="0.25">
      <c r="A17" s="1" t="s">
        <v>4</v>
      </c>
      <c r="B17" s="9">
        <v>16</v>
      </c>
      <c r="C17" s="1"/>
      <c r="D17" s="2"/>
      <c r="E17" s="1" t="s">
        <v>39</v>
      </c>
      <c r="F17" s="1" t="s">
        <v>39</v>
      </c>
      <c r="G17" s="1"/>
      <c r="H17" s="1" t="s">
        <v>39</v>
      </c>
      <c r="I17" s="1"/>
      <c r="J17" s="1"/>
      <c r="K17" s="1"/>
      <c r="L17" s="1"/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V17" s="3" t="s">
        <v>55</v>
      </c>
      <c r="W17" s="1" t="str">
        <f t="shared" si="0"/>
        <v>NEEDS COVERAGE</v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25">
      <c r="A18" s="1" t="s">
        <v>10</v>
      </c>
      <c r="B18" s="9">
        <v>17</v>
      </c>
      <c r="C18" s="1"/>
      <c r="D18" s="2"/>
      <c r="E18" s="1" t="s">
        <v>39</v>
      </c>
      <c r="F18" s="1"/>
      <c r="G18" s="1"/>
      <c r="H18" s="1" t="s">
        <v>39</v>
      </c>
      <c r="I18" s="1"/>
      <c r="J18" s="1"/>
      <c r="K18" s="1" t="s">
        <v>39</v>
      </c>
      <c r="L18" s="1"/>
      <c r="M18" s="1"/>
      <c r="N18" s="1" t="s">
        <v>39</v>
      </c>
      <c r="O18" s="1"/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>NEEDS COVERAGE</v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25">
      <c r="A19" s="1" t="s">
        <v>5</v>
      </c>
      <c r="B19" s="9">
        <v>18</v>
      </c>
      <c r="C19" s="1"/>
      <c r="D19" s="2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/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/>
      <c r="R19" s="1"/>
      <c r="S19" s="1"/>
      <c r="T19" s="1" t="s">
        <v>39</v>
      </c>
      <c r="V19" s="3" t="s">
        <v>61</v>
      </c>
      <c r="W19" s="1" t="str">
        <f t="shared" si="0"/>
        <v>NEEDS COVERAGE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 t="s">
        <v>39</v>
      </c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25">
      <c r="A20" s="1" t="s">
        <v>6</v>
      </c>
      <c r="B20" s="9">
        <v>19</v>
      </c>
      <c r="C20" s="1"/>
      <c r="D20" s="2"/>
      <c r="E20" s="1" t="s">
        <v>39</v>
      </c>
      <c r="F20" s="1" t="s">
        <v>39</v>
      </c>
      <c r="G20" s="1"/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">
        <v>83</v>
      </c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25">
      <c r="A21" s="1" t="s">
        <v>7</v>
      </c>
      <c r="B21" s="9">
        <v>20</v>
      </c>
      <c r="C21" s="1"/>
      <c r="D21" s="2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">
        <v>82</v>
      </c>
      <c r="AC21" s="1"/>
      <c r="AD21" s="1" t="s">
        <v>39</v>
      </c>
      <c r="AE21" s="1"/>
      <c r="AF21" s="1"/>
      <c r="AG21" s="1" t="s">
        <v>39</v>
      </c>
      <c r="AI21" s="22"/>
      <c r="AJ21" s="21"/>
      <c r="AK21" s="20"/>
    </row>
    <row r="22" spans="1:37" x14ac:dyDescent="0.25">
      <c r="A22" s="1" t="s">
        <v>8</v>
      </c>
      <c r="B22" s="9">
        <v>21</v>
      </c>
      <c r="C22" s="1"/>
      <c r="D22" s="2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/>
      <c r="O22" s="1" t="s">
        <v>39</v>
      </c>
      <c r="P22" s="1"/>
      <c r="Q22" s="1"/>
      <c r="R22" s="1"/>
      <c r="S22" s="1"/>
      <c r="T22" s="1" t="s">
        <v>39</v>
      </c>
      <c r="V22" s="3" t="s">
        <v>67</v>
      </c>
      <c r="W22" s="1" t="str">
        <f t="shared" si="0"/>
        <v>NEEDS COVERAGE</v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2"/>
      <c r="AK22" s="20"/>
    </row>
    <row r="23" spans="1:37" x14ac:dyDescent="0.25">
      <c r="A23" s="1" t="s">
        <v>9</v>
      </c>
      <c r="B23" s="9">
        <v>22</v>
      </c>
      <c r="C23" s="1"/>
      <c r="D23" s="2"/>
      <c r="E23" s="1"/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/>
      <c r="N23" s="1"/>
      <c r="O23" s="1"/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>NEEDS COVERAGE</v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19"/>
      <c r="AK23" s="20"/>
    </row>
    <row r="24" spans="1:37" x14ac:dyDescent="0.25">
      <c r="A24" s="1" t="s">
        <v>4</v>
      </c>
      <c r="B24" s="9">
        <v>23</v>
      </c>
      <c r="C24" s="1"/>
      <c r="D24" s="2"/>
      <c r="E24" s="1"/>
      <c r="F24" s="1"/>
      <c r="G24" s="1"/>
      <c r="H24" s="1" t="s">
        <v>39</v>
      </c>
      <c r="I24" s="1"/>
      <c r="J24" s="1"/>
      <c r="K24" s="1"/>
      <c r="L24" s="1"/>
      <c r="M24" s="1" t="s">
        <v>39</v>
      </c>
      <c r="N24" s="1"/>
      <c r="O24" s="1"/>
      <c r="P24" s="1"/>
      <c r="Q24" s="1"/>
      <c r="R24" s="1"/>
      <c r="S24" s="1"/>
      <c r="T24" s="1" t="s">
        <v>39</v>
      </c>
      <c r="V24" s="3" t="s">
        <v>59</v>
      </c>
      <c r="W24" s="1" t="str">
        <f t="shared" si="0"/>
        <v>NEEDS COVERAGE</v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1"/>
      <c r="AK24" s="20"/>
    </row>
    <row r="25" spans="1:37" x14ac:dyDescent="0.25">
      <c r="A25" s="1" t="s">
        <v>10</v>
      </c>
      <c r="B25" s="9">
        <v>24</v>
      </c>
      <c r="C25" s="1" t="s">
        <v>39</v>
      </c>
      <c r="D25" s="2"/>
      <c r="E25" s="1"/>
      <c r="F25" s="1"/>
      <c r="G25" s="1"/>
      <c r="H25" s="1" t="s">
        <v>39</v>
      </c>
      <c r="I25" s="1"/>
      <c r="J25" s="1"/>
      <c r="K25" s="1" t="s">
        <v>39</v>
      </c>
      <c r="L25" s="1"/>
      <c r="M25" s="1"/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">
        <v>82</v>
      </c>
      <c r="AC25" s="1"/>
      <c r="AD25" s="1" t="s">
        <v>39</v>
      </c>
      <c r="AE25" s="1"/>
      <c r="AF25" s="1"/>
      <c r="AG25" s="1" t="s">
        <v>39</v>
      </c>
      <c r="AI25" s="18"/>
      <c r="AJ25" s="22"/>
      <c r="AK25" s="20"/>
    </row>
    <row r="26" spans="1:37" x14ac:dyDescent="0.25">
      <c r="A26" s="1" t="s">
        <v>5</v>
      </c>
      <c r="B26" s="9">
        <v>25</v>
      </c>
      <c r="C26" s="1" t="s">
        <v>39</v>
      </c>
      <c r="D26" s="2"/>
      <c r="E26" s="1" t="s">
        <v>39</v>
      </c>
      <c r="F26" s="1"/>
      <c r="G26" s="1"/>
      <c r="H26" s="1" t="s">
        <v>39</v>
      </c>
      <c r="I26" s="1" t="s">
        <v>39</v>
      </c>
      <c r="J26" s="1" t="s">
        <v>39</v>
      </c>
      <c r="K26" s="1"/>
      <c r="L26" s="1" t="s">
        <v>39</v>
      </c>
      <c r="M26" s="1"/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V26" s="3" t="s">
        <v>69</v>
      </c>
      <c r="W26" s="1" t="str">
        <f t="shared" si="0"/>
        <v>NEEDS COVERAGE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 t="s">
        <v>39</v>
      </c>
      <c r="AD26" s="1"/>
      <c r="AE26" s="1"/>
      <c r="AF26" s="1"/>
      <c r="AG26" s="1" t="s">
        <v>39</v>
      </c>
      <c r="AI26" s="18"/>
      <c r="AJ26" s="21"/>
      <c r="AK26" s="20"/>
    </row>
    <row r="27" spans="1:37" x14ac:dyDescent="0.25">
      <c r="A27" s="1" t="s">
        <v>6</v>
      </c>
      <c r="B27" s="9">
        <v>26</v>
      </c>
      <c r="C27" s="1" t="s">
        <v>39</v>
      </c>
      <c r="D27" s="2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1"/>
      <c r="N27" s="1"/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">
        <v>81</v>
      </c>
      <c r="AC27" s="1"/>
      <c r="AD27" s="1"/>
      <c r="AE27" s="1"/>
      <c r="AF27" s="1"/>
      <c r="AG27" s="1" t="s">
        <v>39</v>
      </c>
      <c r="AI27" s="18"/>
      <c r="AJ27" s="21"/>
      <c r="AK27" s="20"/>
    </row>
    <row r="28" spans="1:37" x14ac:dyDescent="0.25">
      <c r="A28" s="1" t="s">
        <v>7</v>
      </c>
      <c r="B28" s="9">
        <v>27</v>
      </c>
      <c r="C28" s="1" t="s">
        <v>39</v>
      </c>
      <c r="D28" s="2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/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">
        <v>84</v>
      </c>
      <c r="AC28" s="1"/>
      <c r="AD28" s="1" t="s">
        <v>39</v>
      </c>
      <c r="AE28" s="1"/>
      <c r="AF28" s="1"/>
      <c r="AG28" s="1" t="s">
        <v>39</v>
      </c>
      <c r="AI28" s="18"/>
      <c r="AJ28" s="19"/>
      <c r="AK28" s="20"/>
    </row>
    <row r="29" spans="1:37" x14ac:dyDescent="0.25">
      <c r="A29" s="1" t="s">
        <v>8</v>
      </c>
      <c r="B29" s="9">
        <v>28</v>
      </c>
      <c r="C29" s="1"/>
      <c r="D29" s="2"/>
      <c r="E29" s="1" t="s">
        <v>39</v>
      </c>
      <c r="F29" s="1"/>
      <c r="G29" s="1"/>
      <c r="H29" s="1"/>
      <c r="I29" s="1"/>
      <c r="J29" s="1"/>
      <c r="K29" s="1"/>
      <c r="L29" s="1"/>
      <c r="M29" s="1"/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>NEEDS COVERAGE</v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2"/>
      <c r="AK29" s="20"/>
    </row>
    <row r="30" spans="1:37" x14ac:dyDescent="0.25">
      <c r="A30" s="1" t="s">
        <v>9</v>
      </c>
      <c r="B30" s="9">
        <v>29</v>
      </c>
      <c r="C30" s="1"/>
      <c r="D30" s="2"/>
      <c r="E30" s="1"/>
      <c r="F30" s="1"/>
      <c r="G30" s="1"/>
      <c r="H30" s="1"/>
      <c r="I30" s="1"/>
      <c r="J30" s="1"/>
      <c r="K30" s="1" t="s">
        <v>39</v>
      </c>
      <c r="L30" s="1"/>
      <c r="M30" s="1"/>
      <c r="N30" s="1"/>
      <c r="O30" s="1"/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">
        <v>83</v>
      </c>
      <c r="AC30" s="1"/>
      <c r="AD30" s="1" t="s">
        <v>39</v>
      </c>
      <c r="AE30" s="1"/>
      <c r="AF30" s="1"/>
      <c r="AG30" s="1" t="s">
        <v>39</v>
      </c>
      <c r="AI30" s="18"/>
      <c r="AJ30" s="21"/>
      <c r="AK30" s="20"/>
    </row>
    <row r="31" spans="1:37" x14ac:dyDescent="0.25">
      <c r="A31" s="1" t="s">
        <v>4</v>
      </c>
      <c r="B31" s="9">
        <v>30</v>
      </c>
      <c r="C31" s="1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">
        <v>81</v>
      </c>
      <c r="AC31" s="1"/>
      <c r="AD31" s="1" t="s">
        <v>39</v>
      </c>
      <c r="AE31" s="1"/>
      <c r="AF31" s="1"/>
      <c r="AG31" s="1" t="s">
        <v>39</v>
      </c>
      <c r="AI31" s="18"/>
      <c r="AJ31" s="19"/>
      <c r="AK31" s="20"/>
    </row>
    <row r="32" spans="1:37" x14ac:dyDescent="0.25">
      <c r="A32" s="1" t="s">
        <v>10</v>
      </c>
      <c r="B32" s="9">
        <v>31</v>
      </c>
      <c r="C32" s="1"/>
      <c r="D32" s="2"/>
      <c r="E32" s="1"/>
      <c r="F32" s="1"/>
      <c r="G32" s="1"/>
      <c r="H32" s="1"/>
      <c r="I32" s="1"/>
      <c r="J32" s="1"/>
      <c r="K32" s="1"/>
      <c r="L32" s="1"/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 t="s">
        <v>84</v>
      </c>
      <c r="AC32" s="1"/>
      <c r="AD32" s="1" t="s">
        <v>39</v>
      </c>
      <c r="AE32" s="1"/>
      <c r="AF32" s="1"/>
      <c r="AG32" s="1" t="s">
        <v>39</v>
      </c>
      <c r="AI32" s="18"/>
      <c r="AJ32" s="22"/>
      <c r="AK32" s="20"/>
    </row>
    <row r="33" spans="1:33" x14ac:dyDescent="0.25">
      <c r="B33" s="24"/>
      <c r="C33" s="1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4"/>
      <c r="C34" s="7" t="s">
        <v>41</v>
      </c>
      <c r="D34" s="28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 t="s">
        <v>71</v>
      </c>
      <c r="K34" s="7" t="s">
        <v>71</v>
      </c>
      <c r="L34" s="7" t="s">
        <v>75</v>
      </c>
      <c r="M34" s="7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85</v>
      </c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5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2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26"/>
      <c r="Z35" s="26"/>
      <c r="AA35" s="26"/>
      <c r="AB35" s="26"/>
    </row>
    <row r="36" spans="1:33" x14ac:dyDescent="0.25">
      <c r="A36" s="1" t="s">
        <v>28</v>
      </c>
      <c r="B36" s="9"/>
      <c r="C36" s="9">
        <f>INT(RIGHT(C34))</f>
        <v>3</v>
      </c>
      <c r="D36" s="27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42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27">
        <f t="shared" si="9"/>
        <v>4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3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4</v>
      </c>
      <c r="O37" s="9">
        <f t="shared" si="10"/>
        <v>5</v>
      </c>
      <c r="P37" s="9">
        <f t="shared" si="10"/>
        <v>4</v>
      </c>
      <c r="Q37" s="9">
        <f t="shared" si="10"/>
        <v>5</v>
      </c>
      <c r="R37" s="9">
        <f t="shared" si="10"/>
        <v>6</v>
      </c>
      <c r="S37" s="9">
        <f t="shared" si="10"/>
        <v>1</v>
      </c>
      <c r="T37" s="9">
        <f t="shared" si="9"/>
        <v>0</v>
      </c>
      <c r="W37" s="10" t="s">
        <v>47</v>
      </c>
      <c r="X37" s="3">
        <f>SUM($AC$34:$AG$34)</f>
        <v>72</v>
      </c>
    </row>
    <row r="38" spans="1:33" x14ac:dyDescent="0.25">
      <c r="A38" s="1" t="s">
        <v>29</v>
      </c>
      <c r="B38" s="9"/>
      <c r="C38" s="9"/>
      <c r="D38" s="27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27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27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27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27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27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2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2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2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2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29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29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0.22580645161290322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0.54838709677419351</v>
      </c>
      <c r="L49" s="11">
        <f t="shared" si="21"/>
        <v>0.45161290322580644</v>
      </c>
      <c r="M49" s="11">
        <f t="shared" si="21"/>
        <v>6.4516129032258063E-2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30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43</v>
      </c>
      <c r="D51" s="30" t="s">
        <v>77</v>
      </c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30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30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/>
      <c r="K54" s="3" t="s">
        <v>52</v>
      </c>
      <c r="O54" s="3" t="s">
        <v>52</v>
      </c>
      <c r="S54" s="3" t="s">
        <v>73</v>
      </c>
    </row>
    <row r="56" spans="1:20" x14ac:dyDescent="0.25">
      <c r="K56" s="3" t="s">
        <v>72</v>
      </c>
    </row>
    <row r="57" spans="1:20" x14ac:dyDescent="0.25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2017-07-21T19:15:44Z</dcterms:modified>
</cp:coreProperties>
</file>