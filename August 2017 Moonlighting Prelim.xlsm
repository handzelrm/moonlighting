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1q+YyTa9T1BDg1pyKB7jDHUz7mFzWZF1WhBOE/N6qTWvJf5jtWOKM7uqUuW45EgyrLp96jQwb4zTlTs3grdYiQ==" workbookSaltValue="FIy5xM5//PngcFUh0JBpAg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5" i="5" s="1"/>
  <c r="Y4" i="5"/>
  <c r="X6" i="5"/>
  <c r="X10" i="5"/>
  <c r="X14" i="5"/>
  <c r="Z15" i="5"/>
  <c r="Y18" i="5"/>
  <c r="Y20" i="5"/>
  <c r="X29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S37" i="3" l="1"/>
  <c r="D47" i="3"/>
  <c r="H47" i="3"/>
  <c r="N47" i="3"/>
  <c r="N37" i="3"/>
  <c r="H37" i="3"/>
  <c r="X38" i="3"/>
  <c r="X36" i="3"/>
  <c r="X37" i="3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<sst xmlns="http://schemas.openxmlformats.org/spreadsheetml/2006/main" count="522" uniqueCount="80">
  <si>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</si>
  <si>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</si>
  <si>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</si>
  <si>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</si>
  <si>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</si>
  <si>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</si>
  <si>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</si>
  <si>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</si>
  <si>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</si>
  <si>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</si>
  <si>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</si>
  <si>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</si>
  <si>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</si>
  <si>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</si>
  <si>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</si>
  <si>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</si>
  <si>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</si>
  <si>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</si>
  <si>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</si>
  <si>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</si>
  <si>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</si>
  <si>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</si>
  <si>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</si>
  <si>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</si>
  <si>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</si>
  <si>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</si>
  <si>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</si>
  <si>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</si>
  <si>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</si>
  <si>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</si>
  <si>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</si>
  <si>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</si>
  <si>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</si>
  <si>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</si>
  <si>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</si>
  <si>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</si>
  <si>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</si>
  <si>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</si>
  <si>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</si>
  <si>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</si>
  <si>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</si>
  <si>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</si>
  <si>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</si>
  <si>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</si>
  <si>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</si>
  <si>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</si>
  <si>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</si>
  <si>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</si>
  <si>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</si>
  <si>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</si>
  <si>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</si>
  <si>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</si>
  <si>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</si>
  <si>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</si>
  <si>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</si>
  <si>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</si>
  <si>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</si>
  <si>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</si>
  <si>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</si>
  <si>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</si>
  <si>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</si>
  <si>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</si>
  <si>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</si>
  <si>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</si>
  <si>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</si>
  <si>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</si>
  <si>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</si>
  <si>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</si>
  <si>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</si>
  <si>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</si>
  <si>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</si>
  <si>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</si>
  <si>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</si>
  <si>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</si>
  <si>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</si>
  <si>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</si>
  <si>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</si>
  <si>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</si>
  <si>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</si>
  <si>
    <t>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</si>
</sst>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8" sqref="J1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>CT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Dadashzadeh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Trauma</v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Huckaby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>SHY</v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Dyer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>SHY</v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Myers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>SHY</v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Cyr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>SHY</v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Handzel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>SHY</v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Dadashzadeh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SHY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Tam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>CT</v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Cyr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>CT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Tam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G6" activePane="bottomRight" state="frozen"/>
      <selection pane="topRight" activeCell="C1" sqref="C1"/>
      <selection pane="bottomLeft" activeCell="A2" sqref="A2"/>
      <selection pane="bottomRight" activeCell="M28" sqref="M28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5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2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2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V3" s="3" t="s">
        <v>55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2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2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2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 t="s">
        <v>79</v>
      </c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2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">
        <v>79</v>
      </c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2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2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2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V10" s="3" t="s">
        <v>62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2" t="s">
        <v>3</v>
      </c>
      <c r="N11" s="1" t="s">
        <v>39</v>
      </c>
      <c r="O11" s="1"/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Dadashzadeh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2"/>
      <c r="N12" s="1" t="s">
        <v>39</v>
      </c>
      <c r="O12" s="1" t="s">
        <v>2</v>
      </c>
      <c r="P12" s="1" t="s">
        <v>39</v>
      </c>
      <c r="Q12" s="1" t="s">
        <v>39</v>
      </c>
      <c r="R12" s="1"/>
      <c r="S12" s="1" t="s">
        <v>3</v>
      </c>
      <c r="T12" s="1" t="s">
        <v>39</v>
      </c>
      <c r="V12" s="3" t="s">
        <v>64</v>
      </c>
      <c r="W12" s="1" t="str">
        <f t="shared" si="0"/>
        <v>Huckaby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2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V13" s="3" t="s">
        <v>61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 t="s">
        <v>79</v>
      </c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2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">
        <v>79</v>
      </c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2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39</v>
      </c>
      <c r="L16" s="1"/>
      <c r="M16" s="2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 t="s">
        <v>66</v>
      </c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Okolo</v>
      </c>
      <c r="AB16" s="1"/>
      <c r="AC16" s="1"/>
      <c r="AD16" s="1" t="s">
        <v>39</v>
      </c>
      <c r="AE16" s="1"/>
      <c r="AF16" s="1"/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1" t="s">
        <v>23</v>
      </c>
      <c r="M17" s="2"/>
      <c r="N17" s="1" t="s">
        <v>39</v>
      </c>
      <c r="O17" s="1"/>
      <c r="P17" s="1"/>
      <c r="Q17" s="1"/>
      <c r="R17" s="1"/>
      <c r="S17" s="1"/>
      <c r="T17" s="1" t="s">
        <v>39</v>
      </c>
      <c r="V17" s="3" t="s">
        <v>55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2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 t="s">
        <v>3</v>
      </c>
      <c r="K19" s="1" t="s">
        <v>39</v>
      </c>
      <c r="L19" s="1" t="s">
        <v>39</v>
      </c>
      <c r="M19" s="2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V19" s="3" t="s">
        <v>61</v>
      </c>
      <c r="W19" s="1" t="str">
        <f t="shared" si="0"/>
        <v>Myers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Siow</v>
      </c>
      <c r="AB19" s="1"/>
      <c r="AC19" s="1" t="s">
        <v>39</v>
      </c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2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 t="s">
        <v>79</v>
      </c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 t="s">
        <v>23</v>
      </c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2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">
        <v>79</v>
      </c>
      <c r="AC21" s="1"/>
      <c r="AD21" s="1" t="s">
        <v>39</v>
      </c>
      <c r="AE21" s="1"/>
      <c r="AF21" s="1"/>
      <c r="AG21" s="1" t="s">
        <v>39</v>
      </c>
      <c r="AI21" s="22"/>
      <c r="AJ21" s="21"/>
      <c r="AK21" s="20"/>
    </row>
    <row r="22" spans="1:37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2"/>
      <c r="N22" s="1" t="s">
        <v>3</v>
      </c>
      <c r="O22" s="1" t="s">
        <v>39</v>
      </c>
      <c r="P22" s="1"/>
      <c r="Q22" s="1" t="s">
        <v>23</v>
      </c>
      <c r="R22" s="1" t="s">
        <v>2</v>
      </c>
      <c r="S22" s="1"/>
      <c r="T22" s="1" t="s">
        <v>39</v>
      </c>
      <c r="V22" s="3" t="s">
        <v>67</v>
      </c>
      <c r="W22" s="1" t="str">
        <f t="shared" si="0"/>
        <v>Nicholson</v>
      </c>
      <c r="X22" s="1" t="str">
        <f t="shared" si="1"/>
        <v>Myers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2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2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19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 t="s">
        <v>23</v>
      </c>
      <c r="M24" s="2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V24" s="3" t="s">
        <v>59</v>
      </c>
      <c r="W24" s="1" t="str">
        <f t="shared" si="0"/>
        <v>Gallagher</v>
      </c>
      <c r="X24" s="1" t="str">
        <f t="shared" si="1"/>
        <v>Cyr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1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/>
      <c r="E25" s="1"/>
      <c r="F25" s="1"/>
      <c r="G25" s="1" t="s">
        <v>23</v>
      </c>
      <c r="H25" s="1" t="s">
        <v>39</v>
      </c>
      <c r="I25" s="1" t="s">
        <v>3</v>
      </c>
      <c r="J25" s="1"/>
      <c r="K25" s="1" t="s">
        <v>39</v>
      </c>
      <c r="L25" s="1"/>
      <c r="M25" s="2"/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Handzel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2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 t="s">
        <v>39</v>
      </c>
      <c r="M26" s="2"/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V26" s="3" t="s">
        <v>69</v>
      </c>
      <c r="W26" s="1" t="str">
        <f t="shared" si="0"/>
        <v>Tam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/>
      <c r="AF26" s="1"/>
      <c r="AG26" s="1" t="s">
        <v>39</v>
      </c>
      <c r="AI26" s="18"/>
      <c r="AJ26" s="21"/>
      <c r="AK26" s="20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2"/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 t="s">
        <v>79</v>
      </c>
      <c r="AC27" s="1"/>
      <c r="AD27" s="1"/>
      <c r="AE27" s="1"/>
      <c r="AF27" s="1"/>
      <c r="AG27" s="1" t="s">
        <v>39</v>
      </c>
      <c r="AI27" s="18"/>
      <c r="AJ27" s="21"/>
      <c r="AK27" s="20"/>
    </row>
    <row r="28" spans="1:37" s="5" customFormat="1" x14ac:dyDescent="0.4">
      <c r="A28" s="2" t="s">
        <v>7</v>
      </c>
      <c r="B28" s="27">
        <v>27</v>
      </c>
      <c r="C28" s="2" t="s">
        <v>39</v>
      </c>
      <c r="D28" s="2"/>
      <c r="E28" s="2" t="s">
        <v>39</v>
      </c>
      <c r="F28" s="2"/>
      <c r="G28" s="2" t="s">
        <v>39</v>
      </c>
      <c r="H28" s="2" t="s">
        <v>39</v>
      </c>
      <c r="I28" s="2" t="s">
        <v>39</v>
      </c>
      <c r="J28" s="2" t="s">
        <v>39</v>
      </c>
      <c r="K28" s="2"/>
      <c r="L28" s="2"/>
      <c r="M28" s="2" t="s">
        <v>23</v>
      </c>
      <c r="N28" s="2"/>
      <c r="O28" s="2" t="s">
        <v>39</v>
      </c>
      <c r="P28" s="2" t="s">
        <v>39</v>
      </c>
      <c r="Q28" s="2" t="s">
        <v>39</v>
      </c>
      <c r="R28" s="2" t="s">
        <v>39</v>
      </c>
      <c r="S28" s="2"/>
      <c r="T28" s="2" t="s">
        <v>39</v>
      </c>
      <c r="V28" s="5" t="s">
        <v>68</v>
      </c>
      <c r="W28" s="2" t="str">
        <f t="shared" si="0"/>
        <v/>
      </c>
      <c r="X28" s="2" t="str">
        <f t="shared" si="1"/>
        <v>Dadashzadeh</v>
      </c>
      <c r="Y28" s="2" t="str">
        <f t="shared" si="2"/>
        <v/>
      </c>
      <c r="Z28" s="2" t="str">
        <f t="shared" si="3"/>
        <v/>
      </c>
      <c r="AA28" s="2" t="str">
        <f t="shared" si="4"/>
        <v>NEEDS COVERAGE</v>
      </c>
      <c r="AB28" s="2" t="s">
        <v>79</v>
      </c>
      <c r="AC28" s="2"/>
      <c r="AD28" s="2" t="s">
        <v>39</v>
      </c>
      <c r="AE28" s="2"/>
      <c r="AF28" s="2"/>
      <c r="AG28" s="2" t="s">
        <v>39</v>
      </c>
      <c r="AI28" s="31"/>
      <c r="AJ28" s="33"/>
      <c r="AK28" s="32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 t="s">
        <v>23</v>
      </c>
      <c r="L29" s="1"/>
      <c r="M29" s="2"/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>Dyer</v>
      </c>
      <c r="X29" s="1" t="str">
        <f t="shared" si="1"/>
        <v>Tam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2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1"/>
      <c r="I30" s="1"/>
      <c r="J30" s="1"/>
      <c r="K30" s="1" t="s">
        <v>39</v>
      </c>
      <c r="L30" s="1"/>
      <c r="M30" s="2"/>
      <c r="N30" s="1"/>
      <c r="O30" s="1" t="s">
        <v>23</v>
      </c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1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 t="s">
        <v>3</v>
      </c>
      <c r="M31" s="2"/>
      <c r="N31" s="1"/>
      <c r="O31" s="1"/>
      <c r="P31" s="1" t="s">
        <v>23</v>
      </c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Cyr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19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 t="s">
        <v>3</v>
      </c>
      <c r="L32" s="1"/>
      <c r="M32" s="2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Tam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2"/>
      <c r="AK32" s="20"/>
    </row>
    <row r="33" spans="1:33" x14ac:dyDescent="0.4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4"/>
      <c r="C34" s="7" t="s">
        <v>41</v>
      </c>
      <c r="D34" s="7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 t="s">
        <v>71</v>
      </c>
      <c r="K34" s="7" t="s">
        <v>71</v>
      </c>
      <c r="L34" s="7" t="s">
        <v>75</v>
      </c>
      <c r="M34" s="28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78</v>
      </c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5</v>
      </c>
      <c r="AF34" s="1">
        <f>COUNTIF(AF2:AF31,"x")</f>
        <v>0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2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27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42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27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7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</row>
    <row r="39" spans="1:33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27">
        <f t="shared" si="11"/>
        <v>1</v>
      </c>
      <c r="N39" s="9">
        <f t="shared" si="11"/>
        <v>1</v>
      </c>
      <c r="O39" s="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1</v>
      </c>
      <c r="K40" s="9">
        <f t="shared" si="12"/>
        <v>0</v>
      </c>
      <c r="L40" s="9">
        <f t="shared" si="12"/>
        <v>0</v>
      </c>
      <c r="M40" s="27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27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27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27">
        <f t="shared" si="12"/>
        <v>2</v>
      </c>
      <c r="N43" s="9">
        <f t="shared" si="12"/>
        <v>2</v>
      </c>
      <c r="O43" s="9">
        <f t="shared" si="12"/>
        <v>2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2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2">
        <f t="shared" si="14"/>
        <v>0</v>
      </c>
      <c r="N44" s="1">
        <f t="shared" si="14"/>
        <v>0</v>
      </c>
      <c r="O44" s="1">
        <f t="shared" si="14"/>
        <v>1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2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2">
        <f t="shared" si="18"/>
        <v>2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1</v>
      </c>
      <c r="R46" s="1">
        <f t="shared" si="18"/>
        <v>0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1</v>
      </c>
      <c r="D47" s="1">
        <f t="shared" si="19"/>
        <v>1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2</v>
      </c>
      <c r="K47" s="1">
        <f t="shared" si="19"/>
        <v>1</v>
      </c>
      <c r="L47" s="1">
        <f t="shared" ref="L47:R47" si="20">SUM(L44:L46)</f>
        <v>1</v>
      </c>
      <c r="M47" s="2">
        <f t="shared" si="20"/>
        <v>2</v>
      </c>
      <c r="N47" s="1">
        <f t="shared" si="20"/>
        <v>1</v>
      </c>
      <c r="O47" s="1">
        <f t="shared" si="20"/>
        <v>2</v>
      </c>
      <c r="P47" s="1">
        <f t="shared" si="20"/>
        <v>0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29">
        <f>SUMPRODUCT(COUNTIFS($A$2:$A$32,{"Fri";"Sat";"Sun"},M$2:M$32,"x"))/$B48</f>
        <v>0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0.54838709677419351</v>
      </c>
      <c r="L49" s="11">
        <f t="shared" si="21"/>
        <v>0.45161290322580644</v>
      </c>
      <c r="M49" s="29">
        <f t="shared" si="21"/>
        <v>6.4516129032258063E-2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30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43</v>
      </c>
      <c r="D51" s="12" t="s">
        <v>77</v>
      </c>
      <c r="E51" s="12"/>
      <c r="F51" s="12"/>
      <c r="G51" s="12"/>
      <c r="H51" s="12"/>
      <c r="I51" s="12" t="s">
        <v>49</v>
      </c>
      <c r="J51" s="12"/>
      <c r="K51" s="12"/>
      <c r="L51" s="12"/>
      <c r="M51" s="30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30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0"/>
      <c r="N53" s="12"/>
      <c r="O53" s="12"/>
      <c r="P53" s="12"/>
      <c r="Q53" s="12"/>
      <c r="R53" s="12"/>
      <c r="S53" s="12"/>
      <c r="T53" s="12"/>
    </row>
    <row r="54" spans="1:20" x14ac:dyDescent="0.4">
      <c r="C54" s="12"/>
      <c r="K54" s="3" t="s">
        <v>52</v>
      </c>
      <c r="O54" s="3" t="s">
        <v>52</v>
      </c>
      <c r="S54" s="3" t="s">
        <v>73</v>
      </c>
    </row>
    <row r="56" spans="1:20" x14ac:dyDescent="0.4">
      <c r="K56" s="3" t="s">
        <v>72</v>
      </c>
    </row>
    <row r="57" spans="1:20" x14ac:dyDescent="0.4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2017-07-23T16:23:17Z</dcterms:modified>
</cp:coreProperties>
</file>