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eaV2kQJLyFfHm6awVzbpMAuIYPWOGXRaAXhfAfRUpTBwgds6ZF17NhApnFbI9t6z+NCSigFoIRsV4bvJNKXtIw==" workbookSaltValue="jACe+8WMKmqtB43HXWt1hw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S37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L36" i="3"/>
  <c r="M36" i="3"/>
  <c r="N36" i="3"/>
  <c r="N37" i="3" s="1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N47" i="3" s="1"/>
  <c r="O46" i="3"/>
  <c r="P46" i="3"/>
  <c r="Q46" i="3"/>
  <c r="R46" i="3"/>
  <c r="X12" i="3"/>
  <c r="W12" i="5" s="1"/>
  <c r="W3" i="3"/>
  <c r="V3" i="5" s="1"/>
  <c r="X3" i="3"/>
  <c r="W3" i="5" s="1"/>
  <c r="Y3" i="3"/>
  <c r="X3" i="5" s="1"/>
  <c r="Z3" i="3"/>
  <c r="AA3" i="3"/>
  <c r="Z3" i="5" s="1"/>
  <c r="W4" i="3"/>
  <c r="V4" i="5" s="1"/>
  <c r="X4" i="3"/>
  <c r="W4" i="5" s="1"/>
  <c r="Y4" i="3"/>
  <c r="X4" i="5" s="1"/>
  <c r="Z4" i="3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Z6" i="3"/>
  <c r="Y6" i="5" s="1"/>
  <c r="AA6" i="3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Z10" i="3"/>
  <c r="Y10" i="5" s="1"/>
  <c r="AA10" i="3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X15" i="5" s="1"/>
  <c r="Z15" i="3"/>
  <c r="AA15" i="3"/>
  <c r="W16" i="3"/>
  <c r="V16" i="5" s="1"/>
  <c r="X16" i="3"/>
  <c r="W16" i="5" s="1"/>
  <c r="Y16" i="3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W18" i="3"/>
  <c r="V18" i="5" s="1"/>
  <c r="X18" i="3"/>
  <c r="W18" i="5" s="1"/>
  <c r="Y18" i="3"/>
  <c r="X18" i="5" s="1"/>
  <c r="Z18" i="3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AA28" i="3"/>
  <c r="Z28" i="5" s="1"/>
  <c r="W29" i="3"/>
  <c r="V29" i="5" s="1"/>
  <c r="X29" i="3"/>
  <c r="W29" i="5" s="1"/>
  <c r="Y29" i="3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X38" i="3" s="1"/>
  <c r="K36" i="3"/>
  <c r="C36" i="3"/>
  <c r="AG34" i="3"/>
  <c r="AF34" i="3"/>
  <c r="AE34" i="3"/>
  <c r="X36" i="3" s="1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D47" i="3" s="1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T47" i="3"/>
  <c r="H47" i="3"/>
  <c r="C35" i="3"/>
  <c r="C35" i="5" s="1"/>
  <c r="D35" i="3"/>
  <c r="D35" i="5" s="1"/>
  <c r="E35" i="3"/>
  <c r="E35" i="5" s="1"/>
  <c r="F35" i="3"/>
  <c r="F35" i="5" s="1"/>
  <c r="G35" i="3"/>
  <c r="G35" i="5" s="1"/>
  <c r="H35" i="3"/>
  <c r="H35" i="5"/>
  <c r="I35" i="3"/>
  <c r="J35" i="3"/>
  <c r="J35" i="5" s="1"/>
  <c r="K35" i="3"/>
  <c r="K35" i="5" s="1"/>
  <c r="Y3" i="5"/>
  <c r="Y4" i="5"/>
  <c r="X6" i="5"/>
  <c r="Z6" i="5"/>
  <c r="X10" i="5"/>
  <c r="Z10" i="5"/>
  <c r="X14" i="5"/>
  <c r="Y15" i="5"/>
  <c r="Z15" i="5"/>
  <c r="X16" i="5"/>
  <c r="Z17" i="5"/>
  <c r="Y18" i="5"/>
  <c r="Y20" i="5"/>
  <c r="Y28" i="5"/>
  <c r="X29" i="5"/>
  <c r="Y30" i="5"/>
  <c r="X31" i="5"/>
  <c r="X32" i="3"/>
  <c r="W32" i="5" s="1"/>
  <c r="Y32" i="3"/>
  <c r="X32" i="5" s="1"/>
  <c r="Z32" i="3"/>
  <c r="Y32" i="5" s="1"/>
  <c r="AA32" i="3"/>
  <c r="Z32" i="5" s="1"/>
  <c r="W32" i="3"/>
  <c r="V32" i="5" s="1"/>
  <c r="V2" i="5"/>
  <c r="T37" i="3"/>
  <c r="H37" i="3"/>
  <c r="X37" i="3" l="1"/>
  <c r="J47" i="3"/>
  <c r="M37" i="3"/>
  <c r="D37" i="3"/>
  <c r="R47" i="3"/>
  <c r="R37" i="3"/>
  <c r="M47" i="3"/>
  <c r="J37" i="3"/>
  <c r="C47" i="3"/>
  <c r="C37" i="3"/>
  <c r="F47" i="3"/>
  <c r="F37" i="3"/>
  <c r="I37" i="3"/>
  <c r="I47" i="3"/>
  <c r="I35" i="5"/>
  <c r="G47" i="3"/>
  <c r="G37" i="3"/>
  <c r="O37" i="3"/>
  <c r="O47" i="3"/>
  <c r="Q47" i="3"/>
  <c r="Q37" i="3"/>
  <c r="P37" i="3"/>
  <c r="P47" i="3"/>
  <c r="L47" i="3"/>
  <c r="L37" i="3"/>
  <c r="E47" i="3"/>
  <c r="E37" i="3"/>
  <c r="K47" i="3"/>
  <c r="K37" i="3"/>
</calcChain>
</file>

<file path=xl/sharedStrings.xml><?xml version="1.0" encoding="utf-8"?>
<sst xmlns="http://schemas.openxmlformats.org/spreadsheetml/2006/main" count="418" uniqueCount="79">
  <si>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</si>
  <si>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</si>
  <si>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</si>
  <si>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</si>
  <si>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</si>
  <si>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</si>
  <si>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</si>
  <si>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</si>
  <si>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</si>
  <si>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</si>
  <si>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</si>
  <si>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</si>
  <si>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</si>
  <si>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</si>
  <si>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</si>
  <si>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</si>
  <si>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</si>
  <si>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</si>
  <si>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</si>
  <si>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</si>
  <si>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</si>
  <si>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</si>
  <si>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</si>
  <si>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</si>
  <si>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</si>
  <si>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</si>
  <si>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</si>
  <si>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</si>
  <si>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</si>
  <si>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</si>
  <si>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</si>
  <si>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</si>
  <si>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</si>
  <si>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</si>
  <si>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</si>
  <si>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</si>
  <si>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</si>
  <si>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</si>
  <si>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</si>
  <si>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</si>
  <si>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</si>
  <si>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</si>
  <si>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</si>
  <si>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</si>
  <si>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</si>
  <si>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</si>
  <si>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</si>
  <si>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</si>
  <si>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</si>
  <si>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</si>
  <si>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</si>
  <si>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</si>
  <si>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</si>
  <si>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</si>
  <si>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KAUTZA/GB</t>
  </si>
  <si>
    <t>PUYANA</t>
  </si>
  <si>
    <t>SCHUCHERT</t>
  </si>
  <si>
    <t>BRIGGS/DM</t>
  </si>
  <si>
    <t>KAUTZA/GW</t>
  </si>
  <si>
    <t>SPERRY</t>
  </si>
  <si>
    <t>FORSYTHE</t>
  </si>
  <si>
    <t>ZUCKERBRAUN</t>
  </si>
  <si>
    <t>BRIGGS/RF</t>
  </si>
  <si>
    <t>MOHAN</t>
  </si>
  <si>
    <t>BAUZA</t>
  </si>
  <si>
    <t>KAUTZA/DM</t>
  </si>
  <si>
    <t>BILLIAR</t>
  </si>
  <si>
    <t>ALARCON</t>
  </si>
  <si>
    <t>NEAL</t>
  </si>
  <si>
    <t>BRIGGS/LA</t>
  </si>
  <si>
    <t>KAUTZA/LA</t>
  </si>
  <si>
    <t>5</t>
  </si>
  <si>
    <t>?requesting 25-27</t>
  </si>
  <si>
    <t>ideally 8/5 - 8/11</t>
  </si>
  <si>
    <t>1</t>
  </si>
  <si>
    <t>3-4</t>
  </si>
  <si>
    <t>4</t>
  </si>
  <si>
    <t>5-6</t>
  </si>
  <si>
    <t>earlier in month calls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</si>
</sst>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2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2" borderId="0" xfId="0" applyNumberFormat="1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1" fillId="2" borderId="2" xfId="0" applyFont="1" applyFill="1" applyBorder="1" applyAlignment="1" applyProtection="1">
      <alignment horizontal="center"/>
      <protection hidden="1"/>
    </xf>
    <xf numFmtId="0" fontId="0" fillId="2" borderId="0" xfId="0" applyFont="1" applyFill="1" applyProtection="1">
      <protection hidden="1"/>
    </xf>
    <xf numFmtId="0" fontId="0" fillId="2" borderId="0" xfId="0" applyFont="1" applyFill="1" applyAlignment="1" applyProtection="1">
      <alignment horizontal="center"/>
      <protection hidden="1"/>
    </xf>
    <xf numFmtId="0" fontId="1" fillId="2" borderId="0" xfId="0" applyFont="1" applyFill="1" applyBorder="1" applyAlignment="1" applyProtection="1">
      <alignment horizontal="center"/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39" sqref="F39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/>
      </c>
      <c r="H2" s="13" t="str">
        <f>IF(ISBLANK(Master!H2),"",Master!H2)</f>
        <v/>
      </c>
      <c r="I2" s="13" t="str">
        <f>IF(ISBLANK(Master!I2),"",Master!I2)</f>
        <v/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>NEEDS COVERAGE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25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/>
      </c>
      <c r="O3" s="13">
        <f>IF(ISBLANK(Master!O3),"",Master!O3)</f>
        <v>1</v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NEEDS COVERAGE</v>
      </c>
      <c r="X3" s="13" t="str">
        <f>IF(ISBLANK(Master!Y3),"",Master!Y3)</f>
        <v>NEEDS COVERAGE</v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25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/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NEEDS COVERAGE</v>
      </c>
      <c r="X4" s="13" t="str">
        <f>IF(ISBLANK(Master!Y4),"",Master!Y4)</f>
        <v>NEEDS COVERAGE</v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25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25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25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/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NEEDS COVERAGE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25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/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NEEDS COVERAGE</v>
      </c>
      <c r="X8" s="13" t="str">
        <f>IF(ISBLANK(Master!Y8),"",Master!Y8)</f>
        <v>NEEDS COVERAGE</v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25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/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NEEDS COVERAGE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25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/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NEEDS COVERAGE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25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NEEDS COVERAGE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25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>NEEDS COVERAGE</v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25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25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NEEDS COVERAGE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25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/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NEEDS COVERAGE</v>
      </c>
      <c r="X15" s="13" t="str">
        <f>IF(ISBLANK(Master!Y15),"",Master!Y15)</f>
        <v>NEEDS COVERAGE</v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25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NEEDS COVERAGE</v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25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/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NEEDS COVERAGE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25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x</v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NEEDS COVERAGE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25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25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/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25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NEEDS COVERAGE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25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NEEDS COVERAGE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25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NEEDS COVERAGE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25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NEEDS COVERAGE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25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NEEDS COVERAGE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25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x</v>
      </c>
      <c r="K26" s="13" t="str">
        <f>IF(ISBLANK(Master!K26),"",Master!K26)</f>
        <v/>
      </c>
      <c r="L26" s="13" t="str">
        <f>IF(ISBLANK(Master!L26),"",Master!L26)</f>
        <v>x</v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25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25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/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NEEDS COVERAGE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25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NEEDS COVERAGE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25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NEEDS COVERAGE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25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NEEDS COVERAGE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25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NEEDS COVERAGE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5-6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W2" activePane="bottomRight" state="frozen"/>
      <selection pane="topRight" activeCell="C1" sqref="C1"/>
      <selection pane="bottomLeft" activeCell="A2" sqref="A2"/>
      <selection pane="bottomRight" activeCell="X47" sqref="X47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1.7109375" style="3" bestFit="1" customWidth="1"/>
    <col min="14" max="14" width="10.5703125" style="3" bestFit="1" customWidth="1"/>
    <col min="15" max="15" width="10.42578125" style="3" bestFit="1" customWidth="1"/>
    <col min="16" max="16" width="10" style="3" customWidth="1"/>
    <col min="17" max="17" width="10" style="3" bestFit="1" customWidth="1"/>
    <col min="18" max="18" width="10.7109375" style="3" bestFit="1" customWidth="1"/>
    <col min="19" max="19" width="10.7109375" style="3" customWidth="1"/>
    <col min="20" max="20" width="10.140625" style="3" bestFit="1" customWidth="1"/>
    <col min="21" max="21" width="10" style="3" bestFit="1" customWidth="1"/>
    <col min="22" max="22" width="15" style="3" bestFit="1" customWidth="1"/>
    <col min="23" max="23" width="16.85546875" style="10" bestFit="1" customWidth="1"/>
    <col min="24" max="24" width="16.85546875" style="29" bestFit="1" customWidth="1"/>
    <col min="25" max="27" width="16.85546875" style="10" bestFit="1" customWidth="1"/>
    <col min="28" max="28" width="36.28515625" style="10" customWidth="1"/>
    <col min="29" max="33" width="7.85546875" style="3" customWidth="1"/>
    <col min="34" max="34" width="8.85546875" style="3"/>
    <col min="35" max="35" width="19.42578125" style="3" customWidth="1"/>
    <col min="36" max="36" width="29.7109375" style="3" customWidth="1"/>
    <col min="37" max="37" width="19.42578125" style="3" customWidth="1"/>
    <col min="38" max="16384" width="8.85546875" style="3"/>
  </cols>
  <sheetData>
    <row r="1" spans="1:37" x14ac:dyDescent="0.25">
      <c r="A1" s="14" t="s">
        <v>0</v>
      </c>
      <c r="B1" s="23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28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25">
      <c r="A2" s="1" t="s">
        <v>9</v>
      </c>
      <c r="B2" s="9">
        <v>1</v>
      </c>
      <c r="C2" s="1"/>
      <c r="D2" s="1"/>
      <c r="E2" s="1" t="s">
        <v>39</v>
      </c>
      <c r="F2" s="1" t="s">
        <v>39</v>
      </c>
      <c r="G2" s="1"/>
      <c r="H2" s="1"/>
      <c r="I2" s="1"/>
      <c r="J2" s="1">
        <v>0</v>
      </c>
      <c r="K2" s="1" t="s">
        <v>39</v>
      </c>
      <c r="L2" s="1"/>
      <c r="M2" s="1">
        <v>0</v>
      </c>
      <c r="N2" s="1"/>
      <c r="O2" s="1">
        <v>0</v>
      </c>
      <c r="P2" s="1"/>
      <c r="Q2" s="1">
        <v>1</v>
      </c>
      <c r="R2" s="1"/>
      <c r="S2" s="1"/>
      <c r="T2" s="1" t="s">
        <v>39</v>
      </c>
      <c r="V2" s="3" t="s">
        <v>54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2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25">
      <c r="A3" s="1" t="s">
        <v>4</v>
      </c>
      <c r="B3" s="9">
        <v>2</v>
      </c>
      <c r="C3" s="1"/>
      <c r="D3" s="1"/>
      <c r="E3" s="1"/>
      <c r="F3" s="1"/>
      <c r="G3" s="1"/>
      <c r="H3" s="1"/>
      <c r="I3" s="1"/>
      <c r="J3" s="1"/>
      <c r="K3" s="1">
        <v>1</v>
      </c>
      <c r="L3" s="1"/>
      <c r="M3" s="1">
        <v>1</v>
      </c>
      <c r="N3" s="1"/>
      <c r="O3" s="1">
        <v>1</v>
      </c>
      <c r="P3" s="1"/>
      <c r="Q3" s="1"/>
      <c r="R3" s="1"/>
      <c r="S3" s="1"/>
      <c r="T3" s="1" t="s">
        <v>39</v>
      </c>
      <c r="V3" s="3" t="s">
        <v>55</v>
      </c>
      <c r="W3" s="1" t="str">
        <f t="shared" si="0"/>
        <v/>
      </c>
      <c r="X3" s="2" t="str">
        <f t="shared" si="1"/>
        <v>NEEDS COVERAGE</v>
      </c>
      <c r="Y3" s="1" t="str">
        <f t="shared" si="2"/>
        <v>NEEDS COVERAGE</v>
      </c>
      <c r="Z3" s="1" t="str">
        <f t="shared" si="3"/>
        <v/>
      </c>
      <c r="AA3" s="1" t="str">
        <f t="shared" si="4"/>
        <v>NEEDS COVERAGE</v>
      </c>
      <c r="AB3" s="1"/>
      <c r="AC3" s="1"/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25">
      <c r="A4" s="1" t="s">
        <v>10</v>
      </c>
      <c r="B4" s="9">
        <v>3</v>
      </c>
      <c r="C4" s="1"/>
      <c r="D4" s="1"/>
      <c r="E4" s="1"/>
      <c r="F4" s="1"/>
      <c r="G4" s="1"/>
      <c r="H4" s="1"/>
      <c r="I4" s="1" t="s">
        <v>39</v>
      </c>
      <c r="J4" s="1"/>
      <c r="K4" s="1"/>
      <c r="L4" s="1" t="s">
        <v>39</v>
      </c>
      <c r="M4" s="1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V4" s="3" t="s">
        <v>56</v>
      </c>
      <c r="W4" s="1" t="str">
        <f t="shared" si="0"/>
        <v/>
      </c>
      <c r="X4" s="2" t="str">
        <f t="shared" si="1"/>
        <v>NEEDS COVERAGE</v>
      </c>
      <c r="Y4" s="1" t="str">
        <f t="shared" si="2"/>
        <v>NEEDS COVERAGE</v>
      </c>
      <c r="Z4" s="1" t="str">
        <f t="shared" si="3"/>
        <v/>
      </c>
      <c r="AA4" s="1" t="str">
        <f t="shared" si="4"/>
        <v>NEEDS COVERAGE</v>
      </c>
      <c r="AB4" s="1"/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25">
      <c r="A5" s="1" t="s">
        <v>5</v>
      </c>
      <c r="B5" s="9">
        <v>4</v>
      </c>
      <c r="C5" s="1"/>
      <c r="D5" s="1"/>
      <c r="E5" s="1" t="s">
        <v>39</v>
      </c>
      <c r="F5" s="1"/>
      <c r="G5" s="1"/>
      <c r="H5" s="1"/>
      <c r="I5" s="1"/>
      <c r="J5" s="1"/>
      <c r="K5" s="1" t="s">
        <v>39</v>
      </c>
      <c r="L5" s="1" t="s">
        <v>39</v>
      </c>
      <c r="M5" s="1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V5" s="3" t="s">
        <v>57</v>
      </c>
      <c r="W5" s="1" t="str">
        <f t="shared" si="0"/>
        <v/>
      </c>
      <c r="X5" s="2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/>
      <c r="AD5" s="1"/>
      <c r="AE5" s="1"/>
      <c r="AF5" s="1"/>
      <c r="AG5" s="1" t="s">
        <v>39</v>
      </c>
      <c r="AI5" s="18"/>
      <c r="AJ5" s="22"/>
      <c r="AK5" s="20"/>
    </row>
    <row r="6" spans="1:37" x14ac:dyDescent="0.25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/>
      <c r="H6" s="1"/>
      <c r="I6" s="1"/>
      <c r="J6" s="1"/>
      <c r="K6" s="1" t="s">
        <v>39</v>
      </c>
      <c r="L6" s="1" t="s">
        <v>39</v>
      </c>
      <c r="M6" s="1"/>
      <c r="N6" s="1" t="s">
        <v>39</v>
      </c>
      <c r="O6" s="1"/>
      <c r="P6" s="1" t="s">
        <v>39</v>
      </c>
      <c r="Q6" s="1" t="s">
        <v>39</v>
      </c>
      <c r="R6" s="1"/>
      <c r="S6" s="1"/>
      <c r="T6" s="1" t="s">
        <v>39</v>
      </c>
      <c r="V6" s="3" t="s">
        <v>58</v>
      </c>
      <c r="W6" s="1" t="str">
        <f t="shared" si="0"/>
        <v/>
      </c>
      <c r="X6" s="2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25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1"/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V7" s="3" t="s">
        <v>59</v>
      </c>
      <c r="W7" s="1" t="str">
        <f t="shared" si="0"/>
        <v/>
      </c>
      <c r="X7" s="2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25">
      <c r="A8" s="1" t="s">
        <v>8</v>
      </c>
      <c r="B8" s="9">
        <v>7</v>
      </c>
      <c r="C8" s="1"/>
      <c r="D8" s="1"/>
      <c r="E8" s="1"/>
      <c r="F8" s="1" t="s">
        <v>39</v>
      </c>
      <c r="G8" s="1"/>
      <c r="H8" s="1" t="s">
        <v>39</v>
      </c>
      <c r="I8" s="1"/>
      <c r="J8" s="1"/>
      <c r="K8" s="1"/>
      <c r="L8" s="1" t="s">
        <v>39</v>
      </c>
      <c r="M8" s="1"/>
      <c r="N8" s="1" t="s">
        <v>39</v>
      </c>
      <c r="O8" s="1" t="s">
        <v>39</v>
      </c>
      <c r="P8" s="1"/>
      <c r="Q8" s="1" t="s">
        <v>39</v>
      </c>
      <c r="R8" s="1" t="s">
        <v>39</v>
      </c>
      <c r="S8" s="1"/>
      <c r="T8" s="1" t="s">
        <v>39</v>
      </c>
      <c r="V8" s="3" t="s">
        <v>60</v>
      </c>
      <c r="W8" s="1" t="str">
        <f t="shared" si="0"/>
        <v/>
      </c>
      <c r="X8" s="2" t="str">
        <f t="shared" si="1"/>
        <v>NEEDS COVERAGE</v>
      </c>
      <c r="Y8" s="1" t="str">
        <f t="shared" si="2"/>
        <v>NEEDS COVERAGE</v>
      </c>
      <c r="Z8" s="1" t="str">
        <f t="shared" si="3"/>
        <v/>
      </c>
      <c r="AA8" s="1" t="str">
        <f t="shared" si="4"/>
        <v>NEEDS COVERAGE</v>
      </c>
      <c r="AB8" s="1"/>
      <c r="AC8" s="1"/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25">
      <c r="A9" s="1" t="s">
        <v>9</v>
      </c>
      <c r="B9" s="9">
        <v>8</v>
      </c>
      <c r="C9" s="1" t="s">
        <v>39</v>
      </c>
      <c r="D9" s="1"/>
      <c r="E9" s="1"/>
      <c r="F9" s="1" t="s">
        <v>39</v>
      </c>
      <c r="G9" s="1"/>
      <c r="H9" s="1" t="s">
        <v>39</v>
      </c>
      <c r="I9" s="1"/>
      <c r="J9" s="1"/>
      <c r="K9" s="1" t="s">
        <v>39</v>
      </c>
      <c r="L9" s="1" t="s">
        <v>39</v>
      </c>
      <c r="M9" s="1"/>
      <c r="N9" s="1" t="s">
        <v>39</v>
      </c>
      <c r="O9" s="1"/>
      <c r="P9" s="1"/>
      <c r="Q9" s="1"/>
      <c r="R9" s="1"/>
      <c r="S9" s="1"/>
      <c r="T9" s="1" t="s">
        <v>39</v>
      </c>
      <c r="V9" s="3" t="s">
        <v>61</v>
      </c>
      <c r="W9" s="1" t="str">
        <f t="shared" si="0"/>
        <v/>
      </c>
      <c r="X9" s="2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25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/>
      <c r="H10" s="1" t="s">
        <v>39</v>
      </c>
      <c r="I10" s="1"/>
      <c r="J10" s="1"/>
      <c r="K10" s="1"/>
      <c r="L10" s="1" t="s">
        <v>39</v>
      </c>
      <c r="M10" s="1"/>
      <c r="N10" s="1" t="s">
        <v>39</v>
      </c>
      <c r="O10" s="1"/>
      <c r="P10" s="1"/>
      <c r="Q10" s="1"/>
      <c r="R10" s="1"/>
      <c r="S10" s="1"/>
      <c r="T10" s="1" t="s">
        <v>39</v>
      </c>
      <c r="V10" s="3" t="s">
        <v>62</v>
      </c>
      <c r="W10" s="1" t="str">
        <f t="shared" si="0"/>
        <v/>
      </c>
      <c r="X10" s="2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/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25">
      <c r="A11" s="1" t="s">
        <v>10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 t="s">
        <v>39</v>
      </c>
      <c r="I11" s="1"/>
      <c r="J11" s="1"/>
      <c r="K11" s="1"/>
      <c r="L11" s="1"/>
      <c r="M11" s="1"/>
      <c r="N11" s="1" t="s">
        <v>39</v>
      </c>
      <c r="O11" s="1"/>
      <c r="P11" s="1" t="s">
        <v>39</v>
      </c>
      <c r="Q11" s="1" t="s">
        <v>39</v>
      </c>
      <c r="R11" s="1"/>
      <c r="S11" s="1"/>
      <c r="T11" s="1" t="s">
        <v>39</v>
      </c>
      <c r="V11" s="3" t="s">
        <v>63</v>
      </c>
      <c r="W11" s="1" t="str">
        <f t="shared" si="0"/>
        <v/>
      </c>
      <c r="X11" s="2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x14ac:dyDescent="0.25">
      <c r="A12" s="1" t="s">
        <v>5</v>
      </c>
      <c r="B12" s="9">
        <v>11</v>
      </c>
      <c r="C12" s="1"/>
      <c r="D12" s="1" t="s">
        <v>39</v>
      </c>
      <c r="E12" s="1" t="s">
        <v>39</v>
      </c>
      <c r="F12" s="1" t="s">
        <v>39</v>
      </c>
      <c r="G12" s="1"/>
      <c r="H12" s="1" t="s">
        <v>39</v>
      </c>
      <c r="I12" s="1"/>
      <c r="J12" s="1"/>
      <c r="K12" s="1" t="s">
        <v>39</v>
      </c>
      <c r="L12" s="1"/>
      <c r="M12" s="1"/>
      <c r="N12" s="1" t="s">
        <v>39</v>
      </c>
      <c r="O12" s="1"/>
      <c r="P12" s="1" t="s">
        <v>39</v>
      </c>
      <c r="Q12" s="1" t="s">
        <v>39</v>
      </c>
      <c r="R12" s="1"/>
      <c r="S12" s="1"/>
      <c r="T12" s="1" t="s">
        <v>39</v>
      </c>
      <c r="V12" s="3" t="s">
        <v>64</v>
      </c>
      <c r="W12" s="1" t="str">
        <f t="shared" si="0"/>
        <v/>
      </c>
      <c r="X12" s="2" t="str">
        <f t="shared" si="1"/>
        <v/>
      </c>
      <c r="Y12" s="1" t="str">
        <f t="shared" si="2"/>
        <v>NEEDS COVERAGE</v>
      </c>
      <c r="Z12" s="1" t="str">
        <f t="shared" si="3"/>
        <v/>
      </c>
      <c r="AA12" s="1" t="str">
        <f t="shared" si="4"/>
        <v>NEEDS COVERAGE</v>
      </c>
      <c r="AB12" s="1"/>
      <c r="AC12" s="1"/>
      <c r="AD12" s="1"/>
      <c r="AE12" s="1" t="s">
        <v>39</v>
      </c>
      <c r="AF12" s="1"/>
      <c r="AG12" s="1" t="s">
        <v>39</v>
      </c>
      <c r="AI12" s="18"/>
      <c r="AJ12" s="22"/>
      <c r="AK12" s="20"/>
    </row>
    <row r="13" spans="1:37" x14ac:dyDescent="0.25">
      <c r="A13" s="1" t="s">
        <v>6</v>
      </c>
      <c r="B13" s="9">
        <v>12</v>
      </c>
      <c r="C13" s="1"/>
      <c r="D13" s="1" t="s">
        <v>39</v>
      </c>
      <c r="E13" s="1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1"/>
      <c r="M13" s="1"/>
      <c r="N13" s="1" t="s">
        <v>39</v>
      </c>
      <c r="O13" s="1"/>
      <c r="P13" s="1" t="s">
        <v>39</v>
      </c>
      <c r="Q13" s="1" t="s">
        <v>39</v>
      </c>
      <c r="R13" s="1"/>
      <c r="S13" s="1" t="s">
        <v>39</v>
      </c>
      <c r="T13" s="1" t="s">
        <v>39</v>
      </c>
      <c r="V13" s="3" t="s">
        <v>61</v>
      </c>
      <c r="W13" s="1" t="str">
        <f t="shared" si="0"/>
        <v/>
      </c>
      <c r="X13" s="2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/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25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/>
      <c r="K14" s="1" t="s">
        <v>39</v>
      </c>
      <c r="L14" s="1"/>
      <c r="M14" s="1"/>
      <c r="N14" s="1" t="s">
        <v>39</v>
      </c>
      <c r="O14" s="1"/>
      <c r="P14" s="1" t="s">
        <v>39</v>
      </c>
      <c r="Q14" s="1"/>
      <c r="R14" s="1"/>
      <c r="S14" s="1" t="s">
        <v>39</v>
      </c>
      <c r="T14" s="1" t="s">
        <v>39</v>
      </c>
      <c r="V14" s="3" t="s">
        <v>55</v>
      </c>
      <c r="W14" s="1" t="str">
        <f t="shared" si="0"/>
        <v/>
      </c>
      <c r="X14" s="2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x14ac:dyDescent="0.25">
      <c r="A15" s="1" t="s">
        <v>8</v>
      </c>
      <c r="B15" s="9">
        <v>14</v>
      </c>
      <c r="C15" s="1"/>
      <c r="D15" s="1"/>
      <c r="E15" s="1" t="s">
        <v>39</v>
      </c>
      <c r="F15" s="1" t="s">
        <v>39</v>
      </c>
      <c r="G15" s="1"/>
      <c r="H15" s="1" t="s">
        <v>39</v>
      </c>
      <c r="I15" s="1"/>
      <c r="J15" s="1"/>
      <c r="K15" s="1"/>
      <c r="L15" s="1"/>
      <c r="M15" s="1"/>
      <c r="N15" s="1" t="s">
        <v>39</v>
      </c>
      <c r="O15" s="1" t="s">
        <v>39</v>
      </c>
      <c r="P15" s="1"/>
      <c r="Q15" s="1"/>
      <c r="R15" s="1"/>
      <c r="S15" s="1"/>
      <c r="T15" s="1" t="s">
        <v>39</v>
      </c>
      <c r="V15" s="3" t="s">
        <v>65</v>
      </c>
      <c r="W15" s="1" t="str">
        <f t="shared" si="0"/>
        <v/>
      </c>
      <c r="X15" s="2" t="str">
        <f t="shared" si="1"/>
        <v>NEEDS COVERAGE</v>
      </c>
      <c r="Y15" s="1" t="str">
        <f t="shared" si="2"/>
        <v>NEEDS COVERAGE</v>
      </c>
      <c r="Z15" s="1" t="str">
        <f t="shared" si="3"/>
        <v/>
      </c>
      <c r="AA15" s="1" t="str">
        <f t="shared" si="4"/>
        <v>NEEDS COVERAGE</v>
      </c>
      <c r="AB15" s="1"/>
      <c r="AC15" s="1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25">
      <c r="A16" s="1" t="s">
        <v>9</v>
      </c>
      <c r="B16" s="9">
        <v>15</v>
      </c>
      <c r="C16" s="1" t="s">
        <v>39</v>
      </c>
      <c r="D16" s="1" t="s">
        <v>39</v>
      </c>
      <c r="E16" s="1" t="s">
        <v>39</v>
      </c>
      <c r="F16" s="1" t="s">
        <v>39</v>
      </c>
      <c r="G16" s="1"/>
      <c r="H16" s="1" t="s">
        <v>39</v>
      </c>
      <c r="I16" s="1"/>
      <c r="J16" s="1"/>
      <c r="K16" s="1" t="s">
        <v>39</v>
      </c>
      <c r="L16" s="1"/>
      <c r="M16" s="1"/>
      <c r="N16" s="1" t="s">
        <v>39</v>
      </c>
      <c r="O16" s="1"/>
      <c r="P16" s="1"/>
      <c r="Q16" s="1"/>
      <c r="R16" s="1"/>
      <c r="S16" s="1"/>
      <c r="T16" s="1" t="s">
        <v>39</v>
      </c>
      <c r="V16" s="25" t="s">
        <v>66</v>
      </c>
      <c r="W16" s="1" t="str">
        <f t="shared" si="0"/>
        <v/>
      </c>
      <c r="X16" s="2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/>
      <c r="AD16" s="1" t="s">
        <v>39</v>
      </c>
      <c r="AE16" s="1"/>
      <c r="AF16" s="1"/>
      <c r="AG16" s="1" t="s">
        <v>39</v>
      </c>
      <c r="AI16" s="18"/>
      <c r="AJ16" s="21"/>
      <c r="AK16" s="20"/>
    </row>
    <row r="17" spans="1:37" x14ac:dyDescent="0.25">
      <c r="A17" s="1" t="s">
        <v>4</v>
      </c>
      <c r="B17" s="9">
        <v>16</v>
      </c>
      <c r="C17" s="1"/>
      <c r="D17" s="1"/>
      <c r="E17" s="1" t="s">
        <v>39</v>
      </c>
      <c r="F17" s="1" t="s">
        <v>39</v>
      </c>
      <c r="G17" s="1"/>
      <c r="H17" s="1" t="s">
        <v>39</v>
      </c>
      <c r="I17" s="1"/>
      <c r="J17" s="1"/>
      <c r="K17" s="1"/>
      <c r="L17" s="1"/>
      <c r="M17" s="1"/>
      <c r="N17" s="1" t="s">
        <v>39</v>
      </c>
      <c r="O17" s="1"/>
      <c r="P17" s="1"/>
      <c r="Q17" s="1"/>
      <c r="R17" s="1"/>
      <c r="S17" s="1"/>
      <c r="T17" s="1" t="s">
        <v>39</v>
      </c>
      <c r="V17" s="3" t="s">
        <v>55</v>
      </c>
      <c r="W17" s="1" t="str">
        <f t="shared" si="0"/>
        <v/>
      </c>
      <c r="X17" s="2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25">
      <c r="A18" s="1" t="s">
        <v>10</v>
      </c>
      <c r="B18" s="9">
        <v>17</v>
      </c>
      <c r="C18" s="1"/>
      <c r="D18" s="1"/>
      <c r="E18" s="1" t="s">
        <v>39</v>
      </c>
      <c r="F18" s="1"/>
      <c r="G18" s="1"/>
      <c r="H18" s="1" t="s">
        <v>39</v>
      </c>
      <c r="I18" s="1"/>
      <c r="J18" s="1"/>
      <c r="K18" s="1" t="s">
        <v>39</v>
      </c>
      <c r="L18" s="1"/>
      <c r="M18" s="1"/>
      <c r="N18" s="1" t="s">
        <v>39</v>
      </c>
      <c r="O18" s="1"/>
      <c r="P18" s="1"/>
      <c r="Q18" s="1"/>
      <c r="R18" s="1"/>
      <c r="S18" s="1"/>
      <c r="T18" s="1" t="s">
        <v>39</v>
      </c>
      <c r="V18" s="3" t="s">
        <v>63</v>
      </c>
      <c r="W18" s="1" t="str">
        <f t="shared" si="0"/>
        <v/>
      </c>
      <c r="X18" s="2" t="str">
        <f t="shared" si="1"/>
        <v>NEEDS COVERAGE</v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1"/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25">
      <c r="A19" s="1" t="s">
        <v>5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 t="s">
        <v>39</v>
      </c>
      <c r="I19" s="1"/>
      <c r="J19" s="1"/>
      <c r="K19" s="1" t="s">
        <v>39</v>
      </c>
      <c r="L19" s="1" t="s">
        <v>39</v>
      </c>
      <c r="M19" s="1"/>
      <c r="N19" s="1" t="s">
        <v>39</v>
      </c>
      <c r="O19" s="1"/>
      <c r="P19" s="1" t="s">
        <v>39</v>
      </c>
      <c r="Q19" s="1"/>
      <c r="R19" s="1"/>
      <c r="S19" s="1"/>
      <c r="T19" s="1" t="s">
        <v>39</v>
      </c>
      <c r="V19" s="3" t="s">
        <v>61</v>
      </c>
      <c r="W19" s="1" t="str">
        <f t="shared" si="0"/>
        <v/>
      </c>
      <c r="X19" s="2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/>
      <c r="AE19" s="1"/>
      <c r="AF19" s="1"/>
      <c r="AG19" s="1" t="s">
        <v>39</v>
      </c>
      <c r="AI19" s="18"/>
      <c r="AJ19" s="19"/>
      <c r="AK19" s="20"/>
    </row>
    <row r="20" spans="1:37" x14ac:dyDescent="0.25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/>
      <c r="H20" s="1" t="s">
        <v>39</v>
      </c>
      <c r="I20" s="1"/>
      <c r="J20" s="1"/>
      <c r="K20" s="1" t="s">
        <v>39</v>
      </c>
      <c r="L20" s="1" t="s">
        <v>39</v>
      </c>
      <c r="M20" s="1"/>
      <c r="N20" s="1" t="s">
        <v>39</v>
      </c>
      <c r="O20" s="1"/>
      <c r="P20" s="1" t="s">
        <v>39</v>
      </c>
      <c r="Q20" s="1"/>
      <c r="R20" s="1"/>
      <c r="S20" s="1"/>
      <c r="T20" s="1" t="s">
        <v>39</v>
      </c>
      <c r="V20" s="3" t="s">
        <v>59</v>
      </c>
      <c r="W20" s="1" t="str">
        <f t="shared" si="0"/>
        <v/>
      </c>
      <c r="X20" s="2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25">
      <c r="A21" s="1" t="s">
        <v>7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1" t="s">
        <v>39</v>
      </c>
      <c r="M21" s="1"/>
      <c r="N21" s="1" t="s">
        <v>39</v>
      </c>
      <c r="O21" s="1"/>
      <c r="P21" s="1" t="s">
        <v>39</v>
      </c>
      <c r="Q21" s="1"/>
      <c r="R21" s="1"/>
      <c r="S21" s="1"/>
      <c r="T21" s="1" t="s">
        <v>39</v>
      </c>
      <c r="V21" s="3" t="s">
        <v>63</v>
      </c>
      <c r="W21" s="1" t="str">
        <f t="shared" si="0"/>
        <v/>
      </c>
      <c r="X21" s="2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/>
      <c r="AC21" s="1"/>
      <c r="AD21" s="1" t="s">
        <v>39</v>
      </c>
      <c r="AE21" s="1"/>
      <c r="AF21" s="1"/>
      <c r="AG21" s="1" t="s">
        <v>39</v>
      </c>
      <c r="AI21" s="22"/>
      <c r="AJ21" s="21"/>
      <c r="AK21" s="20"/>
    </row>
    <row r="22" spans="1:37" x14ac:dyDescent="0.25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1" t="s">
        <v>39</v>
      </c>
      <c r="M22" s="1"/>
      <c r="N22" s="1"/>
      <c r="O22" s="1" t="s">
        <v>39</v>
      </c>
      <c r="P22" s="1"/>
      <c r="Q22" s="1"/>
      <c r="R22" s="1"/>
      <c r="S22" s="1"/>
      <c r="T22" s="1" t="s">
        <v>39</v>
      </c>
      <c r="V22" s="3" t="s">
        <v>67</v>
      </c>
      <c r="W22" s="1" t="str">
        <f t="shared" si="0"/>
        <v/>
      </c>
      <c r="X22" s="2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/>
      <c r="AD22" s="1" t="s">
        <v>39</v>
      </c>
      <c r="AE22" s="1"/>
      <c r="AF22" s="1"/>
      <c r="AG22" s="1" t="s">
        <v>39</v>
      </c>
      <c r="AI22" s="18"/>
      <c r="AJ22" s="22"/>
      <c r="AK22" s="20"/>
    </row>
    <row r="23" spans="1:37" x14ac:dyDescent="0.25">
      <c r="A23" s="1" t="s">
        <v>9</v>
      </c>
      <c r="B23" s="9">
        <v>22</v>
      </c>
      <c r="C23" s="1"/>
      <c r="D23" s="1"/>
      <c r="E23" s="1"/>
      <c r="F23" s="1"/>
      <c r="G23" s="1"/>
      <c r="H23" s="1" t="s">
        <v>39</v>
      </c>
      <c r="I23" s="1"/>
      <c r="J23" s="1"/>
      <c r="K23" s="1" t="s">
        <v>39</v>
      </c>
      <c r="L23" s="1" t="s">
        <v>39</v>
      </c>
      <c r="M23" s="1"/>
      <c r="N23" s="1"/>
      <c r="O23" s="1"/>
      <c r="P23" s="1"/>
      <c r="Q23" s="1"/>
      <c r="R23" s="1" t="s">
        <v>39</v>
      </c>
      <c r="S23" s="1"/>
      <c r="T23" s="1" t="s">
        <v>39</v>
      </c>
      <c r="V23" s="3" t="s">
        <v>55</v>
      </c>
      <c r="W23" s="1" t="str">
        <f t="shared" si="0"/>
        <v/>
      </c>
      <c r="X23" s="2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/>
      <c r="AD23" s="1" t="s">
        <v>39</v>
      </c>
      <c r="AE23" s="1"/>
      <c r="AF23" s="1"/>
      <c r="AG23" s="1" t="s">
        <v>39</v>
      </c>
      <c r="AI23" s="18"/>
      <c r="AJ23" s="19"/>
      <c r="AK23" s="20"/>
    </row>
    <row r="24" spans="1:37" x14ac:dyDescent="0.25">
      <c r="A24" s="1" t="s">
        <v>4</v>
      </c>
      <c r="B24" s="9">
        <v>23</v>
      </c>
      <c r="C24" s="1"/>
      <c r="D24" s="1"/>
      <c r="E24" s="1"/>
      <c r="F24" s="1"/>
      <c r="G24" s="1"/>
      <c r="H24" s="1" t="s">
        <v>39</v>
      </c>
      <c r="I24" s="1"/>
      <c r="J24" s="1"/>
      <c r="K24" s="1"/>
      <c r="L24" s="1"/>
      <c r="M24" s="1" t="s">
        <v>39</v>
      </c>
      <c r="N24" s="1"/>
      <c r="O24" s="1"/>
      <c r="P24" s="1"/>
      <c r="Q24" s="1"/>
      <c r="R24" s="1"/>
      <c r="S24" s="1"/>
      <c r="T24" s="1" t="s">
        <v>39</v>
      </c>
      <c r="V24" s="3" t="s">
        <v>59</v>
      </c>
      <c r="W24" s="1" t="str">
        <f t="shared" si="0"/>
        <v/>
      </c>
      <c r="X24" s="2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/>
      <c r="AD24" s="1" t="s">
        <v>39</v>
      </c>
      <c r="AE24" s="1"/>
      <c r="AF24" s="1"/>
      <c r="AG24" s="1" t="s">
        <v>39</v>
      </c>
      <c r="AI24" s="18"/>
      <c r="AJ24" s="21"/>
      <c r="AK24" s="20"/>
    </row>
    <row r="25" spans="1:37" x14ac:dyDescent="0.25">
      <c r="A25" s="1" t="s">
        <v>10</v>
      </c>
      <c r="B25" s="9">
        <v>24</v>
      </c>
      <c r="C25" s="1" t="s">
        <v>39</v>
      </c>
      <c r="D25" s="1"/>
      <c r="E25" s="1"/>
      <c r="F25" s="1"/>
      <c r="G25" s="1"/>
      <c r="H25" s="1" t="s">
        <v>39</v>
      </c>
      <c r="I25" s="1"/>
      <c r="J25" s="1"/>
      <c r="K25" s="1" t="s">
        <v>39</v>
      </c>
      <c r="L25" s="1"/>
      <c r="M25" s="1"/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V25" s="3" t="s">
        <v>68</v>
      </c>
      <c r="W25" s="1" t="str">
        <f t="shared" si="0"/>
        <v/>
      </c>
      <c r="X25" s="2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/>
      <c r="AD25" s="1" t="s">
        <v>39</v>
      </c>
      <c r="AE25" s="1"/>
      <c r="AF25" s="1"/>
      <c r="AG25" s="1" t="s">
        <v>39</v>
      </c>
      <c r="AI25" s="18"/>
      <c r="AJ25" s="22"/>
      <c r="AK25" s="20"/>
    </row>
    <row r="26" spans="1:37" x14ac:dyDescent="0.25">
      <c r="A26" s="1" t="s">
        <v>5</v>
      </c>
      <c r="B26" s="9">
        <v>25</v>
      </c>
      <c r="C26" s="1" t="s">
        <v>39</v>
      </c>
      <c r="D26" s="1"/>
      <c r="E26" s="1" t="s">
        <v>39</v>
      </c>
      <c r="F26" s="1"/>
      <c r="G26" s="1"/>
      <c r="H26" s="1" t="s">
        <v>39</v>
      </c>
      <c r="I26" s="1" t="s">
        <v>39</v>
      </c>
      <c r="J26" s="1" t="s">
        <v>39</v>
      </c>
      <c r="K26" s="1"/>
      <c r="L26" s="1" t="s">
        <v>39</v>
      </c>
      <c r="M26" s="1"/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 t="s">
        <v>39</v>
      </c>
      <c r="V26" s="3" t="s">
        <v>69</v>
      </c>
      <c r="W26" s="1" t="str">
        <f t="shared" si="0"/>
        <v/>
      </c>
      <c r="X26" s="2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/>
      <c r="AD26" s="1"/>
      <c r="AE26" s="1"/>
      <c r="AF26" s="1"/>
      <c r="AG26" s="1" t="s">
        <v>39</v>
      </c>
      <c r="AI26" s="18"/>
      <c r="AJ26" s="21"/>
      <c r="AK26" s="20"/>
    </row>
    <row r="27" spans="1:37" x14ac:dyDescent="0.25">
      <c r="A27" s="1" t="s">
        <v>6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/>
      <c r="L27" s="1" t="s">
        <v>39</v>
      </c>
      <c r="M27" s="1"/>
      <c r="N27" s="1"/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V27" s="3" t="s">
        <v>60</v>
      </c>
      <c r="W27" s="1" t="str">
        <f t="shared" si="0"/>
        <v/>
      </c>
      <c r="X27" s="2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/>
      <c r="AC27" s="1"/>
      <c r="AD27" s="1"/>
      <c r="AE27" s="1"/>
      <c r="AF27" s="1"/>
      <c r="AG27" s="1" t="s">
        <v>39</v>
      </c>
      <c r="AI27" s="18"/>
      <c r="AJ27" s="21"/>
      <c r="AK27" s="20"/>
    </row>
    <row r="28" spans="1:37" x14ac:dyDescent="0.25">
      <c r="A28" s="1" t="s">
        <v>7</v>
      </c>
      <c r="B28" s="9">
        <v>27</v>
      </c>
      <c r="C28" s="1" t="s">
        <v>39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39</v>
      </c>
      <c r="K28" s="1"/>
      <c r="L28" s="1"/>
      <c r="M28" s="1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V28" s="3" t="s">
        <v>68</v>
      </c>
      <c r="W28" s="1" t="str">
        <f t="shared" si="0"/>
        <v/>
      </c>
      <c r="X28" s="2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18"/>
      <c r="AJ28" s="19"/>
      <c r="AK28" s="20"/>
    </row>
    <row r="29" spans="1:37" x14ac:dyDescent="0.25">
      <c r="A29" s="1" t="s">
        <v>8</v>
      </c>
      <c r="B29" s="9">
        <v>28</v>
      </c>
      <c r="C29" s="1"/>
      <c r="D29" s="1"/>
      <c r="E29" s="1" t="s">
        <v>39</v>
      </c>
      <c r="F29" s="1"/>
      <c r="G29" s="1"/>
      <c r="H29" s="1"/>
      <c r="I29" s="1"/>
      <c r="J29" s="1"/>
      <c r="K29" s="1"/>
      <c r="L29" s="1"/>
      <c r="M29" s="1"/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V29" s="3" t="s">
        <v>70</v>
      </c>
      <c r="W29" s="1" t="str">
        <f t="shared" si="0"/>
        <v/>
      </c>
      <c r="X29" s="2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/>
      <c r="AD29" s="1" t="s">
        <v>39</v>
      </c>
      <c r="AE29" s="1"/>
      <c r="AF29" s="1"/>
      <c r="AG29" s="1" t="s">
        <v>39</v>
      </c>
      <c r="AI29" s="18"/>
      <c r="AJ29" s="22"/>
      <c r="AK29" s="20"/>
    </row>
    <row r="30" spans="1:37" x14ac:dyDescent="0.25">
      <c r="A30" s="1" t="s">
        <v>9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 t="s">
        <v>39</v>
      </c>
      <c r="L30" s="1"/>
      <c r="M30" s="1"/>
      <c r="N30" s="1"/>
      <c r="O30" s="1"/>
      <c r="P30" s="1"/>
      <c r="Q30" s="1"/>
      <c r="R30" s="1"/>
      <c r="S30" s="1"/>
      <c r="T30" s="1" t="s">
        <v>39</v>
      </c>
      <c r="V30" s="3" t="s">
        <v>64</v>
      </c>
      <c r="W30" s="1" t="str">
        <f t="shared" si="0"/>
        <v/>
      </c>
      <c r="X30" s="2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 t="s">
        <v>39</v>
      </c>
      <c r="AE30" s="1"/>
      <c r="AF30" s="1"/>
      <c r="AG30" s="1" t="s">
        <v>39</v>
      </c>
      <c r="AI30" s="18"/>
      <c r="AJ30" s="21"/>
      <c r="AK30" s="20"/>
    </row>
    <row r="31" spans="1:37" x14ac:dyDescent="0.25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 t="s">
        <v>39</v>
      </c>
      <c r="V31" s="3" t="s">
        <v>62</v>
      </c>
      <c r="W31" s="1" t="str">
        <f t="shared" si="0"/>
        <v/>
      </c>
      <c r="X31" s="2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39</v>
      </c>
      <c r="AE31" s="1"/>
      <c r="AF31" s="1"/>
      <c r="AG31" s="1" t="s">
        <v>39</v>
      </c>
      <c r="AI31" s="18"/>
      <c r="AJ31" s="19"/>
      <c r="AK31" s="20"/>
    </row>
    <row r="32" spans="1:37" x14ac:dyDescent="0.25">
      <c r="A32" s="1" t="s">
        <v>10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V32" s="3" t="s">
        <v>67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2" t="str">
        <f>IF(ISBLANK(AD32),"",IF(COUNTIF($C32:$T32,X$1)&lt;1,"NEEDS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/>
      <c r="AD32" s="1" t="s">
        <v>39</v>
      </c>
      <c r="AE32" s="1"/>
      <c r="AF32" s="1"/>
      <c r="AG32" s="1" t="s">
        <v>39</v>
      </c>
      <c r="AI32" s="18"/>
      <c r="AJ32" s="22"/>
      <c r="AK32" s="20"/>
    </row>
    <row r="33" spans="1:33" x14ac:dyDescent="0.25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30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24"/>
      <c r="C34" s="7" t="s">
        <v>41</v>
      </c>
      <c r="D34" s="7" t="s">
        <v>76</v>
      </c>
      <c r="E34" s="7" t="s">
        <v>41</v>
      </c>
      <c r="F34" s="7" t="s">
        <v>41</v>
      </c>
      <c r="G34" s="7" t="s">
        <v>71</v>
      </c>
      <c r="H34" s="7" t="s">
        <v>41</v>
      </c>
      <c r="I34" s="7" t="s">
        <v>71</v>
      </c>
      <c r="J34" s="7" t="s">
        <v>71</v>
      </c>
      <c r="K34" s="7" t="s">
        <v>71</v>
      </c>
      <c r="L34" s="7" t="s">
        <v>75</v>
      </c>
      <c r="M34" s="7" t="s">
        <v>71</v>
      </c>
      <c r="N34" s="7" t="s">
        <v>75</v>
      </c>
      <c r="O34" s="7" t="s">
        <v>71</v>
      </c>
      <c r="P34" s="7" t="s">
        <v>76</v>
      </c>
      <c r="Q34" s="7" t="s">
        <v>71</v>
      </c>
      <c r="R34" s="7" t="s">
        <v>77</v>
      </c>
      <c r="S34" s="7" t="s">
        <v>74</v>
      </c>
      <c r="T34" s="7" t="s">
        <v>44</v>
      </c>
      <c r="W34" s="6"/>
      <c r="X34" s="31"/>
      <c r="Y34" s="6"/>
      <c r="Z34" s="6"/>
      <c r="AA34" s="6"/>
      <c r="AB34" s="6"/>
      <c r="AC34" s="1">
        <f>COUNTIF(AC2:AC32,"x")</f>
        <v>0</v>
      </c>
      <c r="AD34" s="1">
        <f>COUNTIF(AD2:AD31,"x")</f>
        <v>22</v>
      </c>
      <c r="AE34" s="1">
        <f>COUNTIF(AE2:AE31,"x")</f>
        <v>5</v>
      </c>
      <c r="AF34" s="1">
        <f>COUNTIF(AF2:AF31,"x")</f>
        <v>0</v>
      </c>
      <c r="AG34" s="1">
        <f>COUNTIF(AG2:AG31,"x")</f>
        <v>30</v>
      </c>
    </row>
    <row r="35" spans="1:33" s="8" customFormat="1" x14ac:dyDescent="0.25">
      <c r="A35" s="1" t="s">
        <v>12</v>
      </c>
      <c r="B35" s="7"/>
      <c r="C35" s="1">
        <f t="shared" ref="C35:K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S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6"/>
        <v>0</v>
      </c>
      <c r="T35" s="1">
        <v>0</v>
      </c>
      <c r="V35" s="3"/>
      <c r="X35" s="26"/>
      <c r="Y35" s="27"/>
      <c r="Z35" s="27"/>
      <c r="AA35" s="27"/>
      <c r="AB35" s="27"/>
    </row>
    <row r="36" spans="1:33" x14ac:dyDescent="0.25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5">
        <f>SUM(AC34:AF34)</f>
        <v>27</v>
      </c>
    </row>
    <row r="37" spans="1:33" x14ac:dyDescent="0.25">
      <c r="A37" s="1" t="s">
        <v>30</v>
      </c>
      <c r="B37" s="9"/>
      <c r="C37" s="9">
        <f t="shared" ref="C37:T37" si="9">C36-C35</f>
        <v>3</v>
      </c>
      <c r="D37" s="9">
        <f t="shared" si="9"/>
        <v>4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3</v>
      </c>
      <c r="I37" s="9">
        <f t="shared" si="9"/>
        <v>5</v>
      </c>
      <c r="J37" s="9">
        <f t="shared" si="9"/>
        <v>5</v>
      </c>
      <c r="K37" s="9">
        <f t="shared" si="9"/>
        <v>5</v>
      </c>
      <c r="L37" s="9">
        <f t="shared" ref="L37:S37" si="10">L36-L35</f>
        <v>4</v>
      </c>
      <c r="M37" s="9">
        <f t="shared" si="10"/>
        <v>5</v>
      </c>
      <c r="N37" s="9">
        <f t="shared" si="10"/>
        <v>4</v>
      </c>
      <c r="O37" s="9">
        <f t="shared" si="10"/>
        <v>5</v>
      </c>
      <c r="P37" s="9">
        <f t="shared" si="10"/>
        <v>4</v>
      </c>
      <c r="Q37" s="9">
        <f t="shared" si="10"/>
        <v>5</v>
      </c>
      <c r="R37" s="9">
        <f t="shared" si="10"/>
        <v>6</v>
      </c>
      <c r="S37" s="9">
        <f t="shared" si="10"/>
        <v>1</v>
      </c>
      <c r="T37" s="9">
        <f t="shared" si="9"/>
        <v>0</v>
      </c>
      <c r="W37" s="10" t="s">
        <v>47</v>
      </c>
      <c r="X37" s="5">
        <f>SUM($AC$34:$AG$34)</f>
        <v>57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48</v>
      </c>
      <c r="X38" s="5">
        <f>SUM(D36:T36)</f>
        <v>67</v>
      </c>
    </row>
    <row r="39" spans="1:33" x14ac:dyDescent="0.25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/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/>
      <c r="T46" s="1">
        <f t="shared" si="17"/>
        <v>0</v>
      </c>
    </row>
    <row r="47" spans="1:33" s="5" customFormat="1" x14ac:dyDescent="0.25">
      <c r="A47" s="2" t="s">
        <v>25</v>
      </c>
      <c r="B47" s="2"/>
      <c r="C47" s="2">
        <f t="shared" ref="C47:T47" si="19">SUM(C44:C46)</f>
        <v>0</v>
      </c>
      <c r="D47" s="2">
        <f t="shared" si="19"/>
        <v>0</v>
      </c>
      <c r="E47" s="2">
        <f t="shared" si="19"/>
        <v>0</v>
      </c>
      <c r="F47" s="2">
        <f t="shared" si="19"/>
        <v>0</v>
      </c>
      <c r="G47" s="2">
        <f t="shared" si="19"/>
        <v>0</v>
      </c>
      <c r="H47" s="2">
        <f t="shared" si="19"/>
        <v>0</v>
      </c>
      <c r="I47" s="2">
        <f t="shared" si="19"/>
        <v>0</v>
      </c>
      <c r="J47" s="2">
        <f t="shared" si="19"/>
        <v>0</v>
      </c>
      <c r="K47" s="2">
        <f t="shared" si="19"/>
        <v>0</v>
      </c>
      <c r="L47" s="2">
        <f t="shared" ref="L47:R47" si="20">SUM(L44:L46)</f>
        <v>0</v>
      </c>
      <c r="M47" s="2">
        <f t="shared" si="20"/>
        <v>0</v>
      </c>
      <c r="N47" s="2">
        <f t="shared" si="20"/>
        <v>0</v>
      </c>
      <c r="O47" s="2">
        <f t="shared" si="20"/>
        <v>0</v>
      </c>
      <c r="P47" s="2">
        <f t="shared" si="20"/>
        <v>0</v>
      </c>
      <c r="Q47" s="2">
        <f t="shared" si="20"/>
        <v>0</v>
      </c>
      <c r="R47" s="2">
        <f t="shared" si="20"/>
        <v>0</v>
      </c>
      <c r="S47" s="2"/>
      <c r="T47" s="2">
        <f t="shared" si="19"/>
        <v>0</v>
      </c>
      <c r="W47" s="29"/>
      <c r="X47" s="29"/>
      <c r="Y47" s="29"/>
      <c r="Z47" s="29"/>
      <c r="AA47" s="29"/>
      <c r="AB47" s="29"/>
    </row>
    <row r="48" spans="1:33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0.33333333333333331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0.25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11">
        <f>SUMPRODUCT(COUNTIFS($A$2:$A$32,{"Fri";"Sat";"Sun"},M$2:M$32,"x"))/$B48</f>
        <v>0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0.25806451612903225</v>
      </c>
      <c r="D49" s="1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0.16129032258064516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9.6774193548387094E-2</v>
      </c>
      <c r="K49" s="11">
        <f t="shared" si="21"/>
        <v>0.54838709677419351</v>
      </c>
      <c r="L49" s="11">
        <f t="shared" si="21"/>
        <v>0.45161290322580644</v>
      </c>
      <c r="M49" s="11">
        <f t="shared" si="21"/>
        <v>6.4516129032258063E-2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25">
      <c r="A51" s="12"/>
      <c r="B51" s="12"/>
      <c r="C51" s="3" t="s">
        <v>43</v>
      </c>
      <c r="D51" s="12" t="s">
        <v>78</v>
      </c>
      <c r="E51" s="12"/>
      <c r="F51" s="12"/>
      <c r="G51" s="12"/>
      <c r="H51" s="12"/>
      <c r="I51" s="12" t="s">
        <v>49</v>
      </c>
      <c r="J51" s="12"/>
      <c r="K51" s="12"/>
      <c r="L51" s="12"/>
      <c r="M51" s="12"/>
      <c r="N51" s="12" t="s">
        <v>40</v>
      </c>
      <c r="O51" s="12" t="s">
        <v>40</v>
      </c>
      <c r="P51" s="12"/>
      <c r="Q51" s="12"/>
      <c r="R51" s="12" t="s">
        <v>40</v>
      </c>
      <c r="S51" s="12"/>
      <c r="T51" s="12" t="s">
        <v>45</v>
      </c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25">
      <c r="C54" s="12"/>
      <c r="K54" s="3" t="s">
        <v>52</v>
      </c>
      <c r="O54" s="3" t="s">
        <v>52</v>
      </c>
      <c r="S54" s="3" t="s">
        <v>73</v>
      </c>
    </row>
    <row r="56" spans="1:20" x14ac:dyDescent="0.25">
      <c r="K56" s="3" t="s">
        <v>72</v>
      </c>
    </row>
    <row r="57" spans="1:20" x14ac:dyDescent="0.25">
      <c r="C57" s="8"/>
    </row>
  </sheetData>
  <conditionalFormatting sqref="I8:S8 C4:C30 D4:S7 D8:G8 D9:S30 C31:S32 T2:T33 H8:H28 N5:N2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V37 W3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2017-07-17T15:33:58Z</dcterms:modified>
</cp:coreProperties>
</file>