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wUIgyWffQXZYQet5DZqDGtjls0yFwSuhuGnk5qZPzGeVK2I+Mypz4qJDhv5sNTw3f1M7ZycRhX0xi7K9M6qymw==" workbookSaltValue="fa2hPhGpVFNJnpqc7jgIWw==" workbookSpinCount="100000" lockStructure="1"/>
  <bookViews>
    <workbookView xWindow="0" yWindow="0" windowWidth="15615" windowHeight="3630"/>
  </bookViews>
  <sheets>
    <sheet name="July" sheetId="5" r:id="rId1"/>
    <sheet name="Master" sheetId="3" state="hidden" r:id="rId2"/>
  </sheets>
  <calcPr calcId="171027" concurrentCalc="0"/>
</workbook>
</file>

<file path=xl/calcChain.xml><?xml version="1.0" encoding="utf-8"?>
<calcChain xmlns="http://schemas.openxmlformats.org/spreadsheetml/2006/main">
  <c r="V3" i="5" l="1"/>
  <c r="W3" i="5"/>
  <c r="V4" i="5"/>
  <c r="W4" i="5"/>
  <c r="V5" i="5"/>
  <c r="W5" i="5"/>
  <c r="V6" i="5"/>
  <c r="W6" i="5"/>
  <c r="V7" i="5"/>
  <c r="W7" i="5"/>
  <c r="V8" i="5"/>
  <c r="W8" i="5"/>
  <c r="V9" i="5"/>
  <c r="W9" i="5"/>
  <c r="V10" i="5"/>
  <c r="W10" i="5"/>
  <c r="V11" i="5"/>
  <c r="W11" i="5"/>
  <c r="V12" i="5"/>
  <c r="W12" i="5"/>
  <c r="V13" i="5"/>
  <c r="W13" i="5"/>
  <c r="V14" i="5"/>
  <c r="W14" i="5"/>
  <c r="V15" i="5"/>
  <c r="W15" i="5"/>
  <c r="V16" i="5"/>
  <c r="W16" i="5"/>
  <c r="V17" i="5"/>
  <c r="W17" i="5"/>
  <c r="V18" i="5"/>
  <c r="W18" i="5"/>
  <c r="V19" i="5"/>
  <c r="W19" i="5"/>
  <c r="V20" i="5"/>
  <c r="W20" i="5"/>
  <c r="V21" i="5"/>
  <c r="W21" i="5"/>
  <c r="V22" i="5"/>
  <c r="W22" i="5"/>
  <c r="V23" i="5"/>
  <c r="W23" i="5"/>
  <c r="V24" i="5"/>
  <c r="W24" i="5"/>
  <c r="V25" i="5"/>
  <c r="W25" i="5"/>
  <c r="V26" i="5"/>
  <c r="W26" i="5"/>
  <c r="V27" i="5"/>
  <c r="W27" i="5"/>
  <c r="V28" i="5"/>
  <c r="W28" i="5"/>
  <c r="V29" i="5"/>
  <c r="W29" i="5"/>
  <c r="V30" i="5"/>
  <c r="W30" i="5"/>
  <c r="V31" i="5"/>
  <c r="W31" i="5"/>
  <c r="V32" i="5"/>
  <c r="W32" i="5"/>
  <c r="V33" i="5"/>
  <c r="W33" i="5"/>
  <c r="V34" i="5"/>
  <c r="W34" i="5"/>
  <c r="V35" i="5"/>
  <c r="W35" i="5"/>
  <c r="S36" i="3"/>
  <c r="T36" i="3"/>
  <c r="S35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9" i="3"/>
  <c r="S40" i="3"/>
  <c r="S41" i="3"/>
  <c r="S42" i="3"/>
  <c r="S43" i="3"/>
  <c r="S37" i="3"/>
  <c r="L35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L37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Q37" i="3"/>
  <c r="M37" i="3"/>
  <c r="N47" i="3"/>
  <c r="P37" i="3"/>
  <c r="R47" i="3"/>
  <c r="O37" i="3"/>
  <c r="R37" i="3"/>
  <c r="N37" i="3"/>
  <c r="Q47" i="3"/>
  <c r="M47" i="3"/>
  <c r="P47" i="3"/>
  <c r="L47" i="3"/>
  <c r="O47" i="3"/>
  <c r="X12" i="3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X36" i="3"/>
  <c r="X37" i="3"/>
  <c r="X38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K47" i="3"/>
  <c r="G47" i="3"/>
  <c r="T47" i="3"/>
  <c r="F47" i="3"/>
  <c r="I47" i="3"/>
  <c r="H47" i="3"/>
  <c r="D47" i="3"/>
  <c r="C47" i="3"/>
  <c r="J47" i="3"/>
  <c r="E47" i="3"/>
  <c r="C35" i="3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W2" i="5"/>
  <c r="X2" i="5"/>
  <c r="Y2" i="5"/>
  <c r="Z2" i="5"/>
  <c r="X3" i="5"/>
  <c r="Y3" i="5"/>
  <c r="Z3" i="5"/>
  <c r="X4" i="5"/>
  <c r="Y4" i="5"/>
  <c r="Z4" i="5"/>
  <c r="X5" i="5"/>
  <c r="Y5" i="5"/>
  <c r="Z5" i="5"/>
  <c r="X6" i="5"/>
  <c r="Y6" i="5"/>
  <c r="Z6" i="5"/>
  <c r="X7" i="5"/>
  <c r="Y7" i="5"/>
  <c r="Z7" i="5"/>
  <c r="X8" i="5"/>
  <c r="Y8" i="5"/>
  <c r="Z8" i="5"/>
  <c r="X9" i="5"/>
  <c r="Y9" i="5"/>
  <c r="Z9" i="5"/>
  <c r="X10" i="5"/>
  <c r="Y10" i="5"/>
  <c r="Z10" i="5"/>
  <c r="X11" i="5"/>
  <c r="Y11" i="5"/>
  <c r="Z11" i="5"/>
  <c r="X12" i="5"/>
  <c r="Y12" i="5"/>
  <c r="Z12" i="5"/>
  <c r="X13" i="5"/>
  <c r="Y13" i="5"/>
  <c r="Z13" i="5"/>
  <c r="X14" i="5"/>
  <c r="Y14" i="5"/>
  <c r="Z14" i="5"/>
  <c r="X15" i="5"/>
  <c r="Y15" i="5"/>
  <c r="Z15" i="5"/>
  <c r="X16" i="5"/>
  <c r="Y16" i="5"/>
  <c r="Z16" i="5"/>
  <c r="X17" i="5"/>
  <c r="Y17" i="5"/>
  <c r="Z17" i="5"/>
  <c r="X18" i="5"/>
  <c r="Y18" i="5"/>
  <c r="Z18" i="5"/>
  <c r="X19" i="5"/>
  <c r="Y19" i="5"/>
  <c r="Z19" i="5"/>
  <c r="X20" i="5"/>
  <c r="Y20" i="5"/>
  <c r="Z20" i="5"/>
  <c r="X21" i="5"/>
  <c r="Y21" i="5"/>
  <c r="Z21" i="5"/>
  <c r="X22" i="5"/>
  <c r="Y22" i="5"/>
  <c r="Z22" i="5"/>
  <c r="X23" i="5"/>
  <c r="Y23" i="5"/>
  <c r="Z23" i="5"/>
  <c r="X24" i="5"/>
  <c r="Y24" i="5"/>
  <c r="Z24" i="5"/>
  <c r="X25" i="5"/>
  <c r="Y25" i="5"/>
  <c r="Z25" i="5"/>
  <c r="X26" i="5"/>
  <c r="Y26" i="5"/>
  <c r="Z26" i="5"/>
  <c r="X27" i="5"/>
  <c r="Y27" i="5"/>
  <c r="Z27" i="5"/>
  <c r="X28" i="5"/>
  <c r="Y28" i="5"/>
  <c r="Z28" i="5"/>
  <c r="X29" i="5"/>
  <c r="Y29" i="5"/>
  <c r="Z29" i="5"/>
  <c r="X30" i="5"/>
  <c r="Y30" i="5"/>
  <c r="Z30" i="5"/>
  <c r="X31" i="5"/>
  <c r="Y31" i="5"/>
  <c r="X32" i="3"/>
  <c r="Y32" i="3"/>
  <c r="X32" i="5"/>
  <c r="Z32" i="3"/>
  <c r="Y32" i="5"/>
  <c r="AA32" i="3"/>
  <c r="Z32" i="5"/>
  <c r="W32" i="3"/>
  <c r="V2" i="5"/>
  <c r="T37" i="3"/>
  <c r="K37" i="3"/>
  <c r="E37" i="3"/>
  <c r="G37" i="3"/>
  <c r="I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<sst xmlns="http://schemas.openxmlformats.org/spreadsheetml/2006/main" count="202" uniqueCount="54">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</sst>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1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Font="1" applyFill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24" sqref="K24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/>
      </c>
      <c r="G2" s="13" t="str">
        <f>IF(ISBLANK(Master!G2),"",Master!G2)</f>
        <v/>
      </c>
      <c r="H2" s="13" t="str">
        <f>IF(ISBLANK(Master!H2),"",Master!H2)</f>
        <v/>
      </c>
      <c r="I2" s="13" t="str">
        <f>IF(ISBLANK(Master!I2),"",Master!I2)</f>
        <v/>
      </c>
      <c r="J2" s="13" t="str">
        <f>IF(ISBLANK(Master!J2),"",Master!J2)</f>
        <v/>
      </c>
      <c r="K2" s="13" t="str">
        <f>IF(ISBLANK(Master!K2),"",Master!K2)</f>
        <v/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/>
      </c>
      <c r="O2" s="13" t="str">
        <f>IF(ISBLANK(Master!O2),"",Master!O2)</f>
        <v/>
      </c>
      <c r="P2" s="13" t="str">
        <f>IF(ISBLANK(Master!P2),"",Master!P2)</f>
        <v/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>NEEDS COVERAGE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25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/>
      </c>
      <c r="J3" s="13" t="str">
        <f>IF(ISBLANK(Master!J3),"",Master!J3)</f>
        <v/>
      </c>
      <c r="K3" s="13" t="str">
        <f>IF(ISBLANK(Master!K3),"",Master!K3)</f>
        <v/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/>
      </c>
      <c r="O3" s="13" t="str">
        <f>IF(ISBLANK(Master!O3),"",Master!O3)</f>
        <v/>
      </c>
      <c r="P3" s="13" t="str">
        <f>IF(ISBLANK(Master!P3),"",Master!P3)</f>
        <v/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NEEDS COVERAGE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25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/>
      </c>
      <c r="K4" s="13" t="str">
        <f>IF(ISBLANK(Master!K4),"",Master!K4)</f>
        <v/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/>
      </c>
      <c r="O4" s="13" t="str">
        <f>IF(ISBLANK(Master!O4),"",Master!O4)</f>
        <v/>
      </c>
      <c r="P4" s="13" t="str">
        <f>IF(ISBLANK(Master!P4),"",Master!P4)</f>
        <v/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NEEDS COVERAGE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25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/>
      </c>
      <c r="L5" s="13" t="str">
        <f>IF(ISBLANK(Master!L5),"",Master!L5)</f>
        <v/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/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NEEDS COVERAGE</v>
      </c>
    </row>
    <row r="6" spans="1:26" x14ac:dyDescent="0.25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/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NEEDS COVERAGE</v>
      </c>
    </row>
    <row r="7" spans="1:26" x14ac:dyDescent="0.25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>x</v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/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NEEDS COVERAGE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25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/>
      </c>
      <c r="H8" s="13" t="str">
        <f>IF(ISBLANK(Master!H8),"",Master!H8)</f>
        <v>x</v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/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NEEDS COVERAGE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</row>
    <row r="9" spans="1:26" x14ac:dyDescent="0.25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/>
      </c>
      <c r="G9" s="13" t="str">
        <f>IF(ISBLANK(Master!G9),"",Master!G9)</f>
        <v/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/>
      </c>
      <c r="L9" s="13" t="str">
        <f>IF(ISBLANK(Master!L9),"",Master!L9)</f>
        <v/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NEEDS COVERAGE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25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/>
      </c>
      <c r="G10" s="13" t="str">
        <f>IF(ISBLANK(Master!G10),"",Master!G10)</f>
        <v/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NEEDS COVERAGE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25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NEEDS COVERAGE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25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NEEDS COVERAGE</v>
      </c>
    </row>
    <row r="13" spans="1:26" x14ac:dyDescent="0.25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/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NEEDS COVERAGE</v>
      </c>
    </row>
    <row r="14" spans="1:26" x14ac:dyDescent="0.25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>x</v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NEEDS COVERAGE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25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NEEDS COVERAGE</v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25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/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/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NEEDS COVERAGE</v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25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/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NEEDS COVERAGE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25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NEEDS COVERAGE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NEEDS COVERAGE</v>
      </c>
    </row>
    <row r="19" spans="1:26" x14ac:dyDescent="0.25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NEEDS COVERAGE</v>
      </c>
    </row>
    <row r="20" spans="1:26" x14ac:dyDescent="0.25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/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25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/>
      </c>
      <c r="K21" s="13" t="str">
        <f>IF(ISBLANK(Master!K21),"",Master!K21)</f>
        <v/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NEEDS COVERAGE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25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/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NEEDS COVERAGE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25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/>
      </c>
      <c r="L23" s="13" t="str">
        <f>IF(ISBLANK(Master!L23),"",Master!L23)</f>
        <v/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/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>NEEDS COVERAGE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25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NEEDS COVERAGE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25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/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NEEDS COVERAGE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25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/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NEEDS COVERAGE</v>
      </c>
    </row>
    <row r="27" spans="1:26" x14ac:dyDescent="0.25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NEEDS COVERAGE</v>
      </c>
    </row>
    <row r="28" spans="1:26" x14ac:dyDescent="0.25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/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/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NEEDS COVERAGE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25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/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NEEDS COVERAGE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25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/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NEEDS COVERAGE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</row>
    <row r="31" spans="1:26" x14ac:dyDescent="0.25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NEEDS COVERAGE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25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NEEDS COVERAGE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/>
      </c>
      <c r="D34" s="13" t="str">
        <f>IF(ISBLANK(Master!D34),"",Master!D34)</f>
        <v/>
      </c>
      <c r="E34" s="13" t="str">
        <f>IF(ISBLANK(Master!E34),"",Master!E34)</f>
        <v/>
      </c>
      <c r="F34" s="13" t="str">
        <f>IF(ISBLANK(Master!F34),"",Master!F34)</f>
        <v/>
      </c>
      <c r="G34" s="13" t="str">
        <f>IF(ISBLANK(Master!G34),"",Master!G34)</f>
        <v/>
      </c>
      <c r="H34" s="13" t="str">
        <f>IF(ISBLANK(Master!H34),"",Master!H34)</f>
        <v>3</v>
      </c>
      <c r="I34" s="13" t="str">
        <f>IF(ISBLANK(Master!I34),"",Master!I34)</f>
        <v/>
      </c>
      <c r="J34" s="13" t="str">
        <f>IF(ISBLANK(Master!J34),"",Master!J34)</f>
        <v/>
      </c>
      <c r="K34" s="13" t="str">
        <f>IF(ISBLANK(Master!K34),"",Master!K34)</f>
        <v/>
      </c>
      <c r="L34" s="13" t="str">
        <f>IF(ISBLANK(Master!L34),"",Master!L34)</f>
        <v/>
      </c>
      <c r="M34" s="13" t="str">
        <f>IF(ISBLANK(Master!M34),"",Master!M34)</f>
        <v/>
      </c>
      <c r="N34" s="13" t="str">
        <f>IF(ISBLANK(Master!N34),"",Master!N34)</f>
        <v/>
      </c>
      <c r="O34" s="13" t="str">
        <f>IF(ISBLANK(Master!O34),"",Master!O34)</f>
        <v/>
      </c>
      <c r="P34" s="13" t="str">
        <f>IF(ISBLANK(Master!P34),"",Master!P34)</f>
        <v/>
      </c>
      <c r="Q34" s="13" t="str">
        <f>IF(ISBLANK(Master!Q34),"",Master!Q34)</f>
        <v/>
      </c>
      <c r="R34" s="13" t="str">
        <f>IF(ISBLANK(Master!R34),"",Master!R34)</f>
        <v/>
      </c>
      <c r="S34" s="13" t="str">
        <f>IF(ISBLANK(Master!S34),"",Master!S34)</f>
        <v/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E56" sqref="E56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13.42578125" style="3" customWidth="1"/>
    <col min="4" max="4" width="14.5703125" style="3" bestFit="1" customWidth="1"/>
    <col min="5" max="5" width="10" style="5" bestFit="1" customWidth="1"/>
    <col min="6" max="6" width="12.5703125" style="3" customWidth="1"/>
    <col min="7" max="10" width="10" style="3" bestFit="1" customWidth="1"/>
    <col min="11" max="11" width="8.7109375" style="3" bestFit="1" customWidth="1"/>
    <col min="12" max="12" width="10" style="3" bestFit="1" customWidth="1"/>
    <col min="13" max="13" width="11.7109375" style="3" bestFit="1" customWidth="1"/>
    <col min="14" max="14" width="10.5703125" style="3" bestFit="1" customWidth="1"/>
    <col min="15" max="15" width="10.42578125" style="3" bestFit="1" customWidth="1"/>
    <col min="16" max="16" width="10" style="3" customWidth="1"/>
    <col min="17" max="17" width="10" style="3" bestFit="1" customWidth="1"/>
    <col min="18" max="18" width="10.7109375" style="3" bestFit="1" customWidth="1"/>
    <col min="19" max="19" width="10.7109375" style="3" customWidth="1"/>
    <col min="20" max="20" width="10.140625" style="3" bestFit="1" customWidth="1"/>
    <col min="21" max="21" width="10" style="3" bestFit="1" customWidth="1"/>
    <col min="22" max="22" width="30.42578125" style="3" customWidth="1"/>
    <col min="23" max="27" width="16.85546875" style="10" bestFit="1" customWidth="1"/>
    <col min="28" max="28" width="36.28515625" style="10" customWidth="1"/>
    <col min="29" max="33" width="7.85546875" style="3" customWidth="1"/>
    <col min="34" max="34" width="8.85546875" style="3"/>
    <col min="35" max="35" width="19.42578125" style="3" customWidth="1"/>
    <col min="36" max="36" width="29.7109375" style="3" customWidth="1"/>
    <col min="37" max="37" width="19.42578125" style="3" customWidth="1"/>
    <col min="38" max="16384" width="8.85546875" style="3"/>
  </cols>
  <sheetData>
    <row r="1" spans="1:37" x14ac:dyDescent="0.25">
      <c r="A1" s="14" t="s">
        <v>0</v>
      </c>
      <c r="B1" s="25" t="s">
        <v>1</v>
      </c>
      <c r="C1" s="1" t="s">
        <v>13</v>
      </c>
      <c r="D1" s="1" t="s">
        <v>14</v>
      </c>
      <c r="E1" s="2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8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25">
      <c r="A2" s="1" t="s">
        <v>9</v>
      </c>
      <c r="B2" s="9">
        <v>1</v>
      </c>
      <c r="C2" s="1"/>
      <c r="D2" s="1"/>
      <c r="E2" s="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 t="s">
        <v>39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NEEDS COVERAGE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 t="s">
        <v>39</v>
      </c>
      <c r="AE2" s="1"/>
      <c r="AF2" s="1"/>
      <c r="AG2" s="1" t="s">
        <v>39</v>
      </c>
      <c r="AI2" s="20"/>
      <c r="AJ2" s="21"/>
      <c r="AK2" s="22"/>
    </row>
    <row r="3" spans="1:37" x14ac:dyDescent="0.25">
      <c r="A3" s="1" t="s">
        <v>4</v>
      </c>
      <c r="B3" s="9">
        <v>2</v>
      </c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 t="s">
        <v>39</v>
      </c>
      <c r="W3" s="1" t="str">
        <f t="shared" si="0"/>
        <v/>
      </c>
      <c r="X3" s="1" t="str">
        <f t="shared" si="1"/>
        <v>NEEDS COVERAGE</v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/>
      <c r="AC3" s="1"/>
      <c r="AD3" s="1" t="s">
        <v>39</v>
      </c>
      <c r="AE3" s="1"/>
      <c r="AF3" s="1"/>
      <c r="AG3" s="1" t="s">
        <v>39</v>
      </c>
      <c r="AI3" s="20"/>
      <c r="AJ3" s="23"/>
      <c r="AK3" s="22"/>
    </row>
    <row r="4" spans="1:37" x14ac:dyDescent="0.25">
      <c r="A4" s="1" t="s">
        <v>10</v>
      </c>
      <c r="B4" s="9">
        <v>3</v>
      </c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 t="s">
        <v>39</v>
      </c>
      <c r="W4" s="1" t="str">
        <f t="shared" si="0"/>
        <v/>
      </c>
      <c r="X4" s="1" t="str">
        <f t="shared" si="1"/>
        <v>NEEDS COVERAGE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/>
      <c r="AC4" s="1"/>
      <c r="AD4" s="1" t="s">
        <v>39</v>
      </c>
      <c r="AE4" s="1"/>
      <c r="AF4" s="1"/>
      <c r="AG4" s="1" t="s">
        <v>39</v>
      </c>
      <c r="AI4" s="20"/>
      <c r="AJ4" s="24"/>
      <c r="AK4" s="22"/>
    </row>
    <row r="5" spans="1:37" x14ac:dyDescent="0.25">
      <c r="A5" s="1" t="s">
        <v>5</v>
      </c>
      <c r="B5" s="9">
        <v>4</v>
      </c>
      <c r="C5" s="1"/>
      <c r="D5" s="1"/>
      <c r="E5" s="2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 t="s">
        <v>39</v>
      </c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/>
      <c r="AC5" s="1"/>
      <c r="AD5" s="1"/>
      <c r="AE5" s="1"/>
      <c r="AF5" s="1"/>
      <c r="AG5" s="1" t="s">
        <v>39</v>
      </c>
      <c r="AI5" s="20"/>
      <c r="AJ5" s="24"/>
      <c r="AK5" s="22"/>
    </row>
    <row r="6" spans="1:37" x14ac:dyDescent="0.25">
      <c r="A6" s="1" t="s">
        <v>6</v>
      </c>
      <c r="B6" s="9">
        <v>5</v>
      </c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 t="s">
        <v>39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/>
      <c r="AC6" s="1"/>
      <c r="AD6" s="1"/>
      <c r="AE6" s="1"/>
      <c r="AF6" s="1"/>
      <c r="AG6" s="1" t="s">
        <v>39</v>
      </c>
      <c r="AI6" s="20"/>
      <c r="AJ6" s="21"/>
      <c r="AK6" s="22"/>
    </row>
    <row r="7" spans="1:37" x14ac:dyDescent="0.25">
      <c r="A7" s="1" t="s">
        <v>7</v>
      </c>
      <c r="B7" s="9">
        <v>6</v>
      </c>
      <c r="C7" s="1"/>
      <c r="D7" s="1"/>
      <c r="E7" s="2"/>
      <c r="F7" s="1"/>
      <c r="G7" s="1"/>
      <c r="H7" s="1" t="s">
        <v>39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 t="s">
        <v>39</v>
      </c>
      <c r="W7" s="1" t="str">
        <f t="shared" si="0"/>
        <v/>
      </c>
      <c r="X7" s="1" t="str">
        <f t="shared" si="1"/>
        <v>NEEDS COVERAGE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 t="s">
        <v>39</v>
      </c>
      <c r="AE7" s="1"/>
      <c r="AF7" s="1"/>
      <c r="AG7" s="1" t="s">
        <v>39</v>
      </c>
      <c r="AI7" s="20"/>
      <c r="AJ7" s="23"/>
      <c r="AK7" s="22"/>
    </row>
    <row r="8" spans="1:37" x14ac:dyDescent="0.25">
      <c r="A8" s="1" t="s">
        <v>8</v>
      </c>
      <c r="B8" s="9">
        <v>7</v>
      </c>
      <c r="C8" s="1"/>
      <c r="D8" s="1"/>
      <c r="E8" s="2"/>
      <c r="F8" s="1"/>
      <c r="G8" s="1"/>
      <c r="H8" s="1" t="s">
        <v>39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 t="s">
        <v>39</v>
      </c>
      <c r="W8" s="1" t="str">
        <f t="shared" si="0"/>
        <v/>
      </c>
      <c r="X8" s="1" t="str">
        <f t="shared" si="1"/>
        <v>NEEDS COVERAGE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/>
      <c r="AC8" s="1"/>
      <c r="AD8" s="1" t="s">
        <v>39</v>
      </c>
      <c r="AE8" s="1"/>
      <c r="AF8" s="1"/>
      <c r="AG8" s="1" t="s">
        <v>39</v>
      </c>
      <c r="AI8" s="20"/>
      <c r="AJ8" s="24"/>
      <c r="AK8" s="22"/>
    </row>
    <row r="9" spans="1:37" x14ac:dyDescent="0.25">
      <c r="A9" s="1" t="s">
        <v>9</v>
      </c>
      <c r="B9" s="9">
        <v>8</v>
      </c>
      <c r="C9" s="1"/>
      <c r="D9" s="1"/>
      <c r="E9" s="2"/>
      <c r="F9" s="1"/>
      <c r="G9" s="1"/>
      <c r="H9" s="1" t="s">
        <v>39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 t="s">
        <v>39</v>
      </c>
      <c r="W9" s="1" t="str">
        <f t="shared" si="0"/>
        <v/>
      </c>
      <c r="X9" s="1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/>
      <c r="AD9" s="1" t="s">
        <v>39</v>
      </c>
      <c r="AE9" s="1"/>
      <c r="AF9" s="1"/>
      <c r="AG9" s="1" t="s">
        <v>39</v>
      </c>
      <c r="AI9" s="20"/>
      <c r="AJ9" s="24"/>
      <c r="AK9" s="22"/>
    </row>
    <row r="10" spans="1:37" x14ac:dyDescent="0.25">
      <c r="A10" s="1" t="s">
        <v>4</v>
      </c>
      <c r="B10" s="9">
        <v>9</v>
      </c>
      <c r="C10" s="1"/>
      <c r="D10" s="1"/>
      <c r="E10" s="2"/>
      <c r="F10" s="1"/>
      <c r="G10" s="1"/>
      <c r="H10" s="1" t="s">
        <v>39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 t="s">
        <v>39</v>
      </c>
      <c r="W10" s="1" t="str">
        <f t="shared" si="0"/>
        <v/>
      </c>
      <c r="X10" s="1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/>
      <c r="AC10" s="1"/>
      <c r="AD10" s="1" t="s">
        <v>39</v>
      </c>
      <c r="AE10" s="1"/>
      <c r="AF10" s="1"/>
      <c r="AG10" s="1" t="s">
        <v>39</v>
      </c>
      <c r="AI10" s="20"/>
      <c r="AJ10" s="24"/>
      <c r="AK10" s="22"/>
    </row>
    <row r="11" spans="1:37" x14ac:dyDescent="0.25">
      <c r="A11" s="1" t="s">
        <v>10</v>
      </c>
      <c r="B11" s="9">
        <v>10</v>
      </c>
      <c r="C11" s="1"/>
      <c r="D11" s="1"/>
      <c r="E11" s="2"/>
      <c r="F11" s="1"/>
      <c r="G11" s="1"/>
      <c r="H11" s="1" t="s">
        <v>39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 t="s">
        <v>39</v>
      </c>
      <c r="W11" s="1" t="str">
        <f t="shared" si="0"/>
        <v/>
      </c>
      <c r="X11" s="1" t="str">
        <f t="shared" si="1"/>
        <v>NEEDS COVERAGE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/>
      <c r="AC11" s="1"/>
      <c r="AD11" s="1" t="s">
        <v>39</v>
      </c>
      <c r="AE11" s="1"/>
      <c r="AF11" s="1"/>
      <c r="AG11" s="1" t="s">
        <v>39</v>
      </c>
      <c r="AI11" s="20"/>
      <c r="AJ11" s="23"/>
      <c r="AK11" s="22"/>
    </row>
    <row r="12" spans="1:37" x14ac:dyDescent="0.25">
      <c r="A12" s="1" t="s">
        <v>5</v>
      </c>
      <c r="B12" s="9">
        <v>11</v>
      </c>
      <c r="C12" s="1"/>
      <c r="D12" s="1"/>
      <c r="E12" s="2"/>
      <c r="F12" s="1"/>
      <c r="G12" s="1"/>
      <c r="H12" s="1" t="s">
        <v>39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 t="s">
        <v>39</v>
      </c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/>
      <c r="AC12" s="1"/>
      <c r="AD12" s="1"/>
      <c r="AE12" s="1"/>
      <c r="AF12" s="1"/>
      <c r="AG12" s="1" t="s">
        <v>39</v>
      </c>
      <c r="AI12" s="20"/>
      <c r="AJ12" s="24"/>
      <c r="AK12" s="22"/>
    </row>
    <row r="13" spans="1:37" x14ac:dyDescent="0.25">
      <c r="A13" s="1" t="s">
        <v>6</v>
      </c>
      <c r="B13" s="9">
        <v>12</v>
      </c>
      <c r="C13" s="1"/>
      <c r="D13" s="1"/>
      <c r="E13" s="2"/>
      <c r="F13" s="1"/>
      <c r="G13" s="1"/>
      <c r="H13" s="1" t="s">
        <v>39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 t="s">
        <v>39</v>
      </c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/>
      <c r="AC13" s="1"/>
      <c r="AD13" s="1"/>
      <c r="AE13" s="1"/>
      <c r="AF13" s="1"/>
      <c r="AG13" s="1" t="s">
        <v>39</v>
      </c>
      <c r="AI13" s="20"/>
      <c r="AJ13" s="24"/>
      <c r="AK13" s="22"/>
    </row>
    <row r="14" spans="1:37" x14ac:dyDescent="0.25">
      <c r="A14" s="1" t="s">
        <v>7</v>
      </c>
      <c r="B14" s="9">
        <v>13</v>
      </c>
      <c r="C14" s="1"/>
      <c r="D14" s="1"/>
      <c r="E14" s="2"/>
      <c r="F14" s="1"/>
      <c r="G14" s="1"/>
      <c r="H14" s="1" t="s">
        <v>39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 t="s">
        <v>39</v>
      </c>
      <c r="W14" s="1" t="str">
        <f t="shared" si="0"/>
        <v/>
      </c>
      <c r="X14" s="1" t="str">
        <f t="shared" si="1"/>
        <v>NEEDS COVERAGE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 t="s">
        <v>39</v>
      </c>
      <c r="AE14" s="1"/>
      <c r="AF14" s="1"/>
      <c r="AG14" s="1" t="s">
        <v>39</v>
      </c>
      <c r="AI14" s="24"/>
      <c r="AJ14" s="21"/>
      <c r="AK14" s="22"/>
    </row>
    <row r="15" spans="1:37" x14ac:dyDescent="0.25">
      <c r="A15" s="1" t="s">
        <v>8</v>
      </c>
      <c r="B15" s="9">
        <v>14</v>
      </c>
      <c r="C15" s="1"/>
      <c r="D15" s="1"/>
      <c r="E15" s="2"/>
      <c r="F15" s="1"/>
      <c r="G15" s="1"/>
      <c r="H15" s="1" t="s">
        <v>39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 t="s">
        <v>39</v>
      </c>
      <c r="W15" s="1" t="str">
        <f t="shared" si="0"/>
        <v/>
      </c>
      <c r="X15" s="1" t="str">
        <f t="shared" si="1"/>
        <v>NEEDS COVERAGE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/>
      <c r="AD15" s="1" t="s">
        <v>39</v>
      </c>
      <c r="AE15" s="1"/>
      <c r="AF15" s="1"/>
      <c r="AG15" s="1" t="s">
        <v>39</v>
      </c>
      <c r="AI15" s="20"/>
      <c r="AJ15" s="24"/>
      <c r="AK15" s="22"/>
    </row>
    <row r="16" spans="1:37" x14ac:dyDescent="0.25">
      <c r="A16" s="1" t="s">
        <v>9</v>
      </c>
      <c r="B16" s="9">
        <v>15</v>
      </c>
      <c r="C16" s="1"/>
      <c r="D16" s="1"/>
      <c r="E16" s="2"/>
      <c r="F16" s="1"/>
      <c r="G16" s="1"/>
      <c r="H16" s="1" t="s">
        <v>39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 t="s">
        <v>39</v>
      </c>
      <c r="W16" s="1" t="str">
        <f t="shared" si="0"/>
        <v/>
      </c>
      <c r="X16" s="1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/>
      <c r="AD16" s="1" t="s">
        <v>39</v>
      </c>
      <c r="AE16" s="1"/>
      <c r="AF16" s="1"/>
      <c r="AG16" s="1" t="s">
        <v>39</v>
      </c>
      <c r="AI16" s="20"/>
      <c r="AJ16" s="23"/>
      <c r="AK16" s="22"/>
    </row>
    <row r="17" spans="1:37" x14ac:dyDescent="0.25">
      <c r="A17" s="1" t="s">
        <v>4</v>
      </c>
      <c r="B17" s="9">
        <v>16</v>
      </c>
      <c r="C17" s="1"/>
      <c r="D17" s="1"/>
      <c r="E17" s="2"/>
      <c r="F17" s="1"/>
      <c r="G17" s="1"/>
      <c r="H17" s="1" t="s">
        <v>39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 t="s">
        <v>39</v>
      </c>
      <c r="W17" s="1" t="str">
        <f t="shared" si="0"/>
        <v/>
      </c>
      <c r="X17" s="1" t="str">
        <f t="shared" si="1"/>
        <v>NEEDS COVERAGE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39</v>
      </c>
      <c r="AE17" s="1"/>
      <c r="AF17" s="1"/>
      <c r="AG17" s="1" t="s">
        <v>39</v>
      </c>
      <c r="AI17" s="20"/>
      <c r="AJ17" s="21"/>
      <c r="AK17" s="22"/>
    </row>
    <row r="18" spans="1:37" x14ac:dyDescent="0.25">
      <c r="A18" s="1" t="s">
        <v>10</v>
      </c>
      <c r="B18" s="9">
        <v>17</v>
      </c>
      <c r="C18" s="1"/>
      <c r="D18" s="1"/>
      <c r="E18" s="2"/>
      <c r="F18" s="1"/>
      <c r="G18" s="1"/>
      <c r="H18" s="1" t="s">
        <v>39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 t="s">
        <v>39</v>
      </c>
      <c r="W18" s="1" t="str">
        <f t="shared" si="0"/>
        <v/>
      </c>
      <c r="X18" s="1" t="str">
        <f t="shared" si="1"/>
        <v>NEEDS COVERAGE</v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/>
      <c r="AC18" s="1"/>
      <c r="AD18" s="1" t="s">
        <v>39</v>
      </c>
      <c r="AE18" s="1"/>
      <c r="AF18" s="1"/>
      <c r="AG18" s="1" t="s">
        <v>39</v>
      </c>
      <c r="AI18" s="20"/>
      <c r="AJ18" s="24"/>
      <c r="AK18" s="22"/>
    </row>
    <row r="19" spans="1:37" x14ac:dyDescent="0.25">
      <c r="A19" s="1" t="s">
        <v>5</v>
      </c>
      <c r="B19" s="9">
        <v>18</v>
      </c>
      <c r="C19" s="1"/>
      <c r="D19" s="1"/>
      <c r="E19" s="2"/>
      <c r="F19" s="1"/>
      <c r="G19" s="1"/>
      <c r="H19" s="1" t="s">
        <v>39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 t="s">
        <v>39</v>
      </c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/>
      <c r="AC19" s="1"/>
      <c r="AD19" s="1"/>
      <c r="AE19" s="1"/>
      <c r="AF19" s="1"/>
      <c r="AG19" s="1" t="s">
        <v>39</v>
      </c>
      <c r="AI19" s="20"/>
      <c r="AJ19" s="21"/>
      <c r="AK19" s="22"/>
    </row>
    <row r="20" spans="1:37" x14ac:dyDescent="0.25">
      <c r="A20" s="1" t="s">
        <v>6</v>
      </c>
      <c r="B20" s="9">
        <v>19</v>
      </c>
      <c r="C20" s="1"/>
      <c r="D20" s="1"/>
      <c r="E20" s="2"/>
      <c r="F20" s="1"/>
      <c r="G20" s="1"/>
      <c r="H20" s="1" t="s">
        <v>39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 t="s">
        <v>39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/>
      <c r="AC20" s="1"/>
      <c r="AD20" s="1"/>
      <c r="AE20" s="1"/>
      <c r="AF20" s="1"/>
      <c r="AG20" s="1" t="s">
        <v>39</v>
      </c>
      <c r="AI20" s="20"/>
      <c r="AJ20" s="21"/>
      <c r="AK20" s="22"/>
    </row>
    <row r="21" spans="1:37" x14ac:dyDescent="0.25">
      <c r="A21" s="1" t="s">
        <v>7</v>
      </c>
      <c r="B21" s="9">
        <v>20</v>
      </c>
      <c r="C21" s="1"/>
      <c r="D21" s="1"/>
      <c r="E21" s="2"/>
      <c r="F21" s="1"/>
      <c r="G21" s="1"/>
      <c r="H21" s="1" t="s">
        <v>39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 t="s">
        <v>39</v>
      </c>
      <c r="W21" s="1" t="str">
        <f t="shared" si="0"/>
        <v/>
      </c>
      <c r="X21" s="1" t="str">
        <f t="shared" si="1"/>
        <v>NEEDS COVERAGE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/>
      <c r="AC21" s="1"/>
      <c r="AD21" s="1" t="s">
        <v>39</v>
      </c>
      <c r="AE21" s="1"/>
      <c r="AF21" s="1"/>
      <c r="AG21" s="1" t="s">
        <v>39</v>
      </c>
      <c r="AI21" s="24"/>
      <c r="AJ21" s="23"/>
      <c r="AK21" s="22"/>
    </row>
    <row r="22" spans="1:37" x14ac:dyDescent="0.25">
      <c r="A22" s="1" t="s">
        <v>8</v>
      </c>
      <c r="B22" s="9">
        <v>21</v>
      </c>
      <c r="C22" s="1"/>
      <c r="D22" s="1"/>
      <c r="E22" s="2"/>
      <c r="F22" s="1"/>
      <c r="G22" s="1"/>
      <c r="H22" s="1" t="s">
        <v>39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 t="s">
        <v>39</v>
      </c>
      <c r="W22" s="1" t="str">
        <f t="shared" si="0"/>
        <v/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/>
      <c r="AC22" s="1"/>
      <c r="AD22" s="1" t="s">
        <v>39</v>
      </c>
      <c r="AE22" s="1"/>
      <c r="AF22" s="1"/>
      <c r="AG22" s="1" t="s">
        <v>39</v>
      </c>
      <c r="AI22" s="20"/>
      <c r="AJ22" s="24"/>
      <c r="AK22" s="22"/>
    </row>
    <row r="23" spans="1:37" x14ac:dyDescent="0.25">
      <c r="A23" s="1" t="s">
        <v>9</v>
      </c>
      <c r="B23" s="9">
        <v>22</v>
      </c>
      <c r="C23" s="1"/>
      <c r="D23" s="1"/>
      <c r="E23" s="2"/>
      <c r="F23" s="1"/>
      <c r="G23" s="1"/>
      <c r="H23" s="1" t="s">
        <v>39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 t="s">
        <v>39</v>
      </c>
      <c r="W23" s="1" t="str">
        <f t="shared" si="0"/>
        <v/>
      </c>
      <c r="X23" s="1" t="str">
        <f t="shared" si="1"/>
        <v>NEEDS COVERAGE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/>
      <c r="AD23" s="1" t="s">
        <v>39</v>
      </c>
      <c r="AE23" s="1"/>
      <c r="AF23" s="1"/>
      <c r="AG23" s="1" t="s">
        <v>39</v>
      </c>
      <c r="AI23" s="20"/>
      <c r="AJ23" s="21"/>
      <c r="AK23" s="22"/>
    </row>
    <row r="24" spans="1:37" x14ac:dyDescent="0.25">
      <c r="A24" s="1" t="s">
        <v>4</v>
      </c>
      <c r="B24" s="9">
        <v>23</v>
      </c>
      <c r="C24" s="1"/>
      <c r="D24" s="1"/>
      <c r="E24" s="2"/>
      <c r="F24" s="1"/>
      <c r="G24" s="1"/>
      <c r="H24" s="1" t="s">
        <v>39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 t="s">
        <v>39</v>
      </c>
      <c r="W24" s="1" t="str">
        <f t="shared" si="0"/>
        <v/>
      </c>
      <c r="X24" s="1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/>
      <c r="AC24" s="1"/>
      <c r="AD24" s="1" t="s">
        <v>39</v>
      </c>
      <c r="AE24" s="1"/>
      <c r="AF24" s="1"/>
      <c r="AG24" s="1" t="s">
        <v>39</v>
      </c>
      <c r="AI24" s="20"/>
      <c r="AJ24" s="23"/>
      <c r="AK24" s="22"/>
    </row>
    <row r="25" spans="1:37" x14ac:dyDescent="0.25">
      <c r="A25" s="1" t="s">
        <v>10</v>
      </c>
      <c r="B25" s="9">
        <v>24</v>
      </c>
      <c r="C25" s="1"/>
      <c r="D25" s="1"/>
      <c r="E25" s="2"/>
      <c r="F25" s="1"/>
      <c r="G25" s="1"/>
      <c r="H25" s="1" t="s">
        <v>39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 t="s">
        <v>39</v>
      </c>
      <c r="W25" s="1" t="str">
        <f t="shared" si="0"/>
        <v/>
      </c>
      <c r="X25" s="1" t="str">
        <f t="shared" si="1"/>
        <v>NEEDS COVERAGE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/>
      <c r="AC25" s="1"/>
      <c r="AD25" s="1" t="s">
        <v>39</v>
      </c>
      <c r="AE25" s="1"/>
      <c r="AF25" s="1"/>
      <c r="AG25" s="1" t="s">
        <v>39</v>
      </c>
      <c r="AI25" s="20"/>
      <c r="AJ25" s="24"/>
      <c r="AK25" s="22"/>
    </row>
    <row r="26" spans="1:37" x14ac:dyDescent="0.25">
      <c r="A26" s="1" t="s">
        <v>5</v>
      </c>
      <c r="B26" s="9">
        <v>25</v>
      </c>
      <c r="C26" s="1"/>
      <c r="D26" s="1"/>
      <c r="E26" s="2"/>
      <c r="F26" s="1"/>
      <c r="G26" s="1"/>
      <c r="H26" s="1" t="s">
        <v>39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 t="s">
        <v>39</v>
      </c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/>
      <c r="AC26" s="1"/>
      <c r="AD26" s="1"/>
      <c r="AE26" s="1"/>
      <c r="AF26" s="1"/>
      <c r="AG26" s="1" t="s">
        <v>39</v>
      </c>
      <c r="AI26" s="20"/>
      <c r="AJ26" s="23"/>
      <c r="AK26" s="22"/>
    </row>
    <row r="27" spans="1:37" x14ac:dyDescent="0.25">
      <c r="A27" s="1" t="s">
        <v>6</v>
      </c>
      <c r="B27" s="9">
        <v>26</v>
      </c>
      <c r="C27" s="1"/>
      <c r="D27" s="1"/>
      <c r="E27" s="2"/>
      <c r="F27" s="1"/>
      <c r="G27" s="1"/>
      <c r="H27" s="1" t="s">
        <v>39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 t="s">
        <v>39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/>
      <c r="AC27" s="1"/>
      <c r="AD27" s="1"/>
      <c r="AE27" s="1"/>
      <c r="AF27" s="1"/>
      <c r="AG27" s="1" t="s">
        <v>39</v>
      </c>
      <c r="AI27" s="20"/>
      <c r="AJ27" s="23"/>
      <c r="AK27" s="22"/>
    </row>
    <row r="28" spans="1:37" x14ac:dyDescent="0.25">
      <c r="A28" s="1" t="s">
        <v>7</v>
      </c>
      <c r="B28" s="9">
        <v>27</v>
      </c>
      <c r="C28" s="1"/>
      <c r="D28" s="1"/>
      <c r="E28" s="2"/>
      <c r="F28" s="1"/>
      <c r="G28" s="1"/>
      <c r="H28" s="1" t="s">
        <v>39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 t="s">
        <v>39</v>
      </c>
      <c r="W28" s="1" t="str">
        <f t="shared" si="0"/>
        <v/>
      </c>
      <c r="X28" s="1" t="str">
        <f t="shared" si="1"/>
        <v>NEEDS COVERAGE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39</v>
      </c>
      <c r="AE28" s="1"/>
      <c r="AF28" s="1"/>
      <c r="AG28" s="1" t="s">
        <v>39</v>
      </c>
      <c r="AI28" s="20"/>
      <c r="AJ28" s="21"/>
      <c r="AK28" s="22"/>
    </row>
    <row r="29" spans="1:37" x14ac:dyDescent="0.25">
      <c r="A29" s="1" t="s">
        <v>8</v>
      </c>
      <c r="B29" s="9">
        <v>28</v>
      </c>
      <c r="C29" s="1"/>
      <c r="D29" s="1"/>
      <c r="E29" s="2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 t="s">
        <v>39</v>
      </c>
      <c r="W29" s="1" t="str">
        <f t="shared" si="0"/>
        <v/>
      </c>
      <c r="X29" s="1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/>
      <c r="AC29" s="1"/>
      <c r="AD29" s="1" t="s">
        <v>39</v>
      </c>
      <c r="AE29" s="1"/>
      <c r="AF29" s="1"/>
      <c r="AG29" s="1" t="s">
        <v>39</v>
      </c>
      <c r="AI29" s="20"/>
      <c r="AJ29" s="24"/>
      <c r="AK29" s="22"/>
    </row>
    <row r="30" spans="1:37" x14ac:dyDescent="0.25">
      <c r="A30" s="1" t="s">
        <v>9</v>
      </c>
      <c r="B30" s="9">
        <v>29</v>
      </c>
      <c r="C30" s="1"/>
      <c r="D30" s="1"/>
      <c r="E30" s="2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 t="s">
        <v>39</v>
      </c>
      <c r="W30" s="1" t="str">
        <f t="shared" si="0"/>
        <v/>
      </c>
      <c r="X30" s="1" t="str">
        <f t="shared" si="1"/>
        <v>NEEDS COVERAGE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/>
      <c r="AC30" s="1"/>
      <c r="AD30" s="1" t="s">
        <v>39</v>
      </c>
      <c r="AE30" s="1"/>
      <c r="AF30" s="1"/>
      <c r="AG30" s="1" t="s">
        <v>39</v>
      </c>
      <c r="AI30" s="20"/>
      <c r="AJ30" s="23"/>
      <c r="AK30" s="22"/>
    </row>
    <row r="31" spans="1:37" x14ac:dyDescent="0.25">
      <c r="A31" s="1" t="s">
        <v>4</v>
      </c>
      <c r="B31" s="9">
        <v>30</v>
      </c>
      <c r="C31" s="1"/>
      <c r="D31" s="1"/>
      <c r="E31" s="2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 t="s">
        <v>39</v>
      </c>
      <c r="W31" s="1" t="str">
        <f t="shared" si="0"/>
        <v/>
      </c>
      <c r="X31" s="1" t="str">
        <f t="shared" si="1"/>
        <v>NEEDS COVERAGE</v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39</v>
      </c>
      <c r="AE31" s="1"/>
      <c r="AF31" s="1"/>
      <c r="AG31" s="1" t="s">
        <v>39</v>
      </c>
      <c r="AI31" s="20"/>
      <c r="AJ31" s="21"/>
      <c r="AK31" s="22"/>
    </row>
    <row r="32" spans="1:37" x14ac:dyDescent="0.25">
      <c r="A32" s="1" t="s">
        <v>10</v>
      </c>
      <c r="B32" s="9">
        <v>31</v>
      </c>
      <c r="C32" s="1"/>
      <c r="D32" s="1"/>
      <c r="E32" s="2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 t="s">
        <v>39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NEEDS COVERAGE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/>
      <c r="AD32" s="1" t="s">
        <v>39</v>
      </c>
      <c r="AE32" s="1"/>
      <c r="AF32" s="1"/>
      <c r="AG32" s="1" t="s">
        <v>39</v>
      </c>
      <c r="AI32" s="20"/>
      <c r="AJ32" s="24"/>
      <c r="AK32" s="22"/>
    </row>
    <row r="33" spans="1:33" x14ac:dyDescent="0.25">
      <c r="B33" s="26"/>
      <c r="C33" s="1"/>
      <c r="D33" s="1"/>
      <c r="E33" s="2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25">
      <c r="A34" s="7" t="s">
        <v>11</v>
      </c>
      <c r="B34" s="26"/>
      <c r="C34" s="7"/>
      <c r="D34" s="7"/>
      <c r="E34" s="29"/>
      <c r="F34" s="7"/>
      <c r="G34" s="7"/>
      <c r="H34" s="7" t="s">
        <v>41</v>
      </c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22</v>
      </c>
      <c r="AE34" s="1">
        <f>COUNTIF(AE2:AE31,"x")</f>
        <v>0</v>
      </c>
      <c r="AF34" s="1">
        <f>COUNTIF(AF2:AF31,"x")</f>
        <v>0</v>
      </c>
      <c r="AG34" s="1">
        <f>COUNTIF(AG2:AG31,"x")</f>
        <v>30</v>
      </c>
    </row>
    <row r="35" spans="1:33" s="8" customFormat="1" x14ac:dyDescent="0.25">
      <c r="A35" s="1" t="s">
        <v>12</v>
      </c>
      <c r="B35" s="7"/>
      <c r="C35" s="1">
        <f t="shared" ref="C35:K35" si="5">COUNTIF(C2:C32,"Trauma")+COUNTIF(C2:C32,"CHP*")+COUNTIF(C2:C32,"SHY")+COUNTIF(C2:C32,"CT")</f>
        <v>0</v>
      </c>
      <c r="D35" s="1">
        <f t="shared" si="5"/>
        <v>0</v>
      </c>
      <c r="E35" s="2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S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6"/>
        <v>0</v>
      </c>
      <c r="T35" s="1">
        <v>0</v>
      </c>
      <c r="V35" s="3"/>
      <c r="Y35" s="16"/>
      <c r="Z35" s="16"/>
      <c r="AA35" s="16"/>
      <c r="AB35" s="16"/>
    </row>
    <row r="36" spans="1:33" x14ac:dyDescent="0.25">
      <c r="A36" s="1" t="s">
        <v>28</v>
      </c>
      <c r="B36" s="9"/>
      <c r="C36" s="9" t="e">
        <f>INT(RIGHT(C34))</f>
        <v>#VALUE!</v>
      </c>
      <c r="D36" s="9" t="e">
        <f t="shared" ref="D36:K36" si="7">INT(RIGHT(D34))</f>
        <v>#VALUE!</v>
      </c>
      <c r="E36" s="17" t="e">
        <f t="shared" si="7"/>
        <v>#VALUE!</v>
      </c>
      <c r="F36" s="9" t="e">
        <f t="shared" si="7"/>
        <v>#VALUE!</v>
      </c>
      <c r="G36" s="9" t="e">
        <f t="shared" si="7"/>
        <v>#VALUE!</v>
      </c>
      <c r="H36" s="9">
        <f t="shared" si="7"/>
        <v>3</v>
      </c>
      <c r="I36" s="9" t="e">
        <f t="shared" si="7"/>
        <v>#VALUE!</v>
      </c>
      <c r="J36" s="9" t="e">
        <f t="shared" si="7"/>
        <v>#VALUE!</v>
      </c>
      <c r="K36" s="9" t="e">
        <f t="shared" si="7"/>
        <v>#VALUE!</v>
      </c>
      <c r="L36" s="9" t="e">
        <f t="shared" ref="L36:T36" si="8">INT(RIGHT(L34))</f>
        <v>#VALUE!</v>
      </c>
      <c r="M36" s="9" t="e">
        <f t="shared" si="8"/>
        <v>#VALUE!</v>
      </c>
      <c r="N36" s="9" t="e">
        <f t="shared" si="8"/>
        <v>#VALUE!</v>
      </c>
      <c r="O36" s="9" t="e">
        <f t="shared" si="8"/>
        <v>#VALUE!</v>
      </c>
      <c r="P36" s="9" t="e">
        <f t="shared" si="8"/>
        <v>#VALUE!</v>
      </c>
      <c r="Q36" s="9" t="e">
        <f t="shared" si="8"/>
        <v>#VALUE!</v>
      </c>
      <c r="R36" s="9" t="e">
        <f t="shared" si="8"/>
        <v>#VALUE!</v>
      </c>
      <c r="S36" s="9" t="e">
        <f t="shared" si="8"/>
        <v>#VALUE!</v>
      </c>
      <c r="T36" s="9">
        <f t="shared" si="8"/>
        <v>0</v>
      </c>
      <c r="W36" s="19" t="s">
        <v>46</v>
      </c>
      <c r="X36" s="3">
        <f>SUM(AC34:AF34)</f>
        <v>22</v>
      </c>
    </row>
    <row r="37" spans="1:33" x14ac:dyDescent="0.25">
      <c r="A37" s="1" t="s">
        <v>30</v>
      </c>
      <c r="B37" s="9"/>
      <c r="C37" s="9" t="e">
        <f t="shared" ref="C37:T37" si="9">C36-C35</f>
        <v>#VALUE!</v>
      </c>
      <c r="D37" s="9" t="e">
        <f t="shared" si="9"/>
        <v>#VALUE!</v>
      </c>
      <c r="E37" s="17" t="e">
        <f t="shared" si="9"/>
        <v>#VALUE!</v>
      </c>
      <c r="F37" s="9" t="e">
        <f t="shared" si="9"/>
        <v>#VALUE!</v>
      </c>
      <c r="G37" s="9" t="e">
        <f t="shared" si="9"/>
        <v>#VALUE!</v>
      </c>
      <c r="H37" s="9">
        <f t="shared" si="9"/>
        <v>3</v>
      </c>
      <c r="I37" s="9" t="e">
        <f t="shared" si="9"/>
        <v>#VALUE!</v>
      </c>
      <c r="J37" s="9" t="e">
        <f t="shared" si="9"/>
        <v>#VALUE!</v>
      </c>
      <c r="K37" s="9" t="e">
        <f t="shared" si="9"/>
        <v>#VALUE!</v>
      </c>
      <c r="L37" s="9" t="e">
        <f t="shared" ref="L37:S37" si="10">L36-L35</f>
        <v>#VALUE!</v>
      </c>
      <c r="M37" s="9" t="e">
        <f t="shared" si="10"/>
        <v>#VALUE!</v>
      </c>
      <c r="N37" s="9" t="e">
        <f t="shared" si="10"/>
        <v>#VALUE!</v>
      </c>
      <c r="O37" s="9" t="e">
        <f t="shared" si="10"/>
        <v>#VALUE!</v>
      </c>
      <c r="P37" s="9" t="e">
        <f t="shared" si="10"/>
        <v>#VALUE!</v>
      </c>
      <c r="Q37" s="9" t="e">
        <f t="shared" si="10"/>
        <v>#VALUE!</v>
      </c>
      <c r="R37" s="9" t="e">
        <f t="shared" si="10"/>
        <v>#VALUE!</v>
      </c>
      <c r="S37" s="9" t="e">
        <f t="shared" si="10"/>
        <v>#VALUE!</v>
      </c>
      <c r="T37" s="9">
        <f t="shared" si="9"/>
        <v>0</v>
      </c>
      <c r="W37" s="10" t="s">
        <v>47</v>
      </c>
      <c r="X37" s="3">
        <f>SUM($AC$34:$AG$34)</f>
        <v>52</v>
      </c>
    </row>
    <row r="38" spans="1:33" x14ac:dyDescent="0.25">
      <c r="A38" s="1" t="s">
        <v>29</v>
      </c>
      <c r="B38" s="9"/>
      <c r="C38" s="9"/>
      <c r="D38" s="9"/>
      <c r="E38" s="17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48</v>
      </c>
      <c r="X38" s="3" t="e">
        <f>SUM(D36:T36)</f>
        <v>#VALUE!</v>
      </c>
    </row>
    <row r="39" spans="1:33" x14ac:dyDescent="0.25">
      <c r="A39" s="1" t="s">
        <v>2</v>
      </c>
      <c r="B39" s="9"/>
      <c r="C39" s="9">
        <f t="shared" ref="C39:S39" si="11">COUNTIF(C$2:C$32,$A39)</f>
        <v>0</v>
      </c>
      <c r="D39" s="9">
        <f t="shared" si="11"/>
        <v>0</v>
      </c>
      <c r="E39" s="17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25">
      <c r="A40" s="1" t="s">
        <v>22</v>
      </c>
      <c r="B40" s="9"/>
      <c r="C40" s="9">
        <f t="shared" si="12"/>
        <v>0</v>
      </c>
      <c r="D40" s="9">
        <f t="shared" si="12"/>
        <v>0</v>
      </c>
      <c r="E40" s="17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17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9">
        <f t="shared" si="12"/>
        <v>0</v>
      </c>
      <c r="D42" s="9">
        <f t="shared" si="12"/>
        <v>0</v>
      </c>
      <c r="E42" s="17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9">
        <f t="shared" si="12"/>
        <v>0</v>
      </c>
      <c r="D43" s="9">
        <f t="shared" si="12"/>
        <v>0</v>
      </c>
      <c r="E43" s="17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2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</row>
    <row r="45" spans="1:33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2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/>
      <c r="T45" s="1">
        <f t="shared" si="15"/>
        <v>0</v>
      </c>
    </row>
    <row r="46" spans="1:33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2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/>
      <c r="T46" s="1">
        <f t="shared" si="17"/>
        <v>0</v>
      </c>
    </row>
    <row r="47" spans="1:33" x14ac:dyDescent="0.25">
      <c r="A47" s="1" t="s">
        <v>25</v>
      </c>
      <c r="C47" s="1">
        <f t="shared" ref="C47:T47" si="19">SUM(C44:C46)</f>
        <v>0</v>
      </c>
      <c r="D47" s="1">
        <f t="shared" si="19"/>
        <v>0</v>
      </c>
      <c r="E47" s="2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/>
      <c r="T47" s="1">
        <f t="shared" si="19"/>
        <v>0</v>
      </c>
    </row>
    <row r="48" spans="1:33" x14ac:dyDescent="0.25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30">
        <f>SUMPRODUCT(COUNTIFS($A$2:$A$32,{"Fri";"Sat";"Sun"},E$2:E$32,"x"))/$B48</f>
        <v>0</v>
      </c>
      <c r="F48" s="11">
        <f>SUMPRODUCT(COUNTIFS($A$2:$A$32,{"Fri";"Sat";"Sun"},F$2:F$32,"x"))/$B48</f>
        <v>0</v>
      </c>
      <c r="G48" s="11">
        <f>SUMPRODUCT(COUNTIFS($A$2:$A$32,{"Fri";"Sat";"Sun"},G$2:G$32,"x"))/$B48</f>
        <v>0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</v>
      </c>
      <c r="J48" s="11">
        <f>SUMPRODUCT(COUNTIFS($A$2:$A$32,{"Fri";"Sat";"Sun"},J$2:J$32,"x"))/$B48</f>
        <v>0</v>
      </c>
      <c r="K48" s="11">
        <f>SUMPRODUCT(COUNTIFS($A$2:$A$32,{"Fri";"Sat";"Sun"},K$2:K$32,"x"))/$B48</f>
        <v>0</v>
      </c>
      <c r="L48" s="11">
        <f>SUMPRODUCT(COUNTIFS($A$2:$A$32,{"Fri";"Sat";"Sun"},L$2:L$32,"x"))/$B48</f>
        <v>0</v>
      </c>
      <c r="M48" s="11">
        <f>SUMPRODUCT(COUNTIFS($A$2:$A$32,{"Fri";"Sat";"Sun"},M$2:M$32,"x"))/$B48</f>
        <v>0</v>
      </c>
      <c r="N48" s="11">
        <f>SUMPRODUCT(COUNTIFS($A$2:$A$32,{"Fri";"Sat";"Sun"},N$2:N$32,"x"))/$B48</f>
        <v>0</v>
      </c>
      <c r="O48" s="11">
        <f>SUMPRODUCT(COUNTIFS($A$2:$A$32,{"Fri";"Sat";"Sun"},O$2:O$32,"x"))/$B48</f>
        <v>0</v>
      </c>
      <c r="P48" s="11">
        <f>SUMPRODUCT(COUNTIFS($A$2:$A$32,{"Fri";"Sat";"Sun"},P$2:P$32,"x"))/$B48</f>
        <v>0</v>
      </c>
      <c r="Q48" s="11">
        <f>SUMPRODUCT(COUNTIFS($A$2:$A$32,{"Fri";"Sat";"Sun"},Q$2:Q$32,"x"))/$B48</f>
        <v>0</v>
      </c>
      <c r="R48" s="11">
        <f>SUMPRODUCT(COUNTIFS($A$2:$A$32,{"Fri";"Sat";"Sun"},R$2:R$32,"x"))/$B48</f>
        <v>0</v>
      </c>
      <c r="S48" s="11"/>
      <c r="T48" s="11">
        <f>SUMPRODUCT(COUNTIFS($A$2:$A$32,{"Fri";"Sat";"Sun"},T$2:T$32,"x"))/$B48</f>
        <v>1</v>
      </c>
    </row>
    <row r="49" spans="1:28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</v>
      </c>
      <c r="D49" s="11">
        <f t="shared" si="21"/>
        <v>0</v>
      </c>
      <c r="E49" s="30">
        <f t="shared" si="21"/>
        <v>0</v>
      </c>
      <c r="F49" s="11">
        <f t="shared" si="21"/>
        <v>0</v>
      </c>
      <c r="G49" s="11">
        <f t="shared" si="21"/>
        <v>0</v>
      </c>
      <c r="H49" s="11">
        <f t="shared" si="21"/>
        <v>0.70967741935483875</v>
      </c>
      <c r="I49" s="11">
        <f t="shared" si="21"/>
        <v>0</v>
      </c>
      <c r="J49" s="11">
        <f t="shared" si="21"/>
        <v>0</v>
      </c>
      <c r="K49" s="11">
        <f t="shared" si="21"/>
        <v>0</v>
      </c>
      <c r="L49" s="11">
        <f t="shared" si="21"/>
        <v>0</v>
      </c>
      <c r="M49" s="11">
        <f t="shared" si="21"/>
        <v>0</v>
      </c>
      <c r="N49" s="11">
        <f t="shared" si="21"/>
        <v>0</v>
      </c>
      <c r="O49" s="11">
        <f t="shared" si="21"/>
        <v>0</v>
      </c>
      <c r="P49" s="11">
        <f t="shared" si="21"/>
        <v>0</v>
      </c>
      <c r="Q49" s="11">
        <f t="shared" si="21"/>
        <v>0</v>
      </c>
      <c r="R49" s="11">
        <f t="shared" si="21"/>
        <v>0</v>
      </c>
      <c r="S49" s="11"/>
      <c r="T49" s="11">
        <f t="shared" si="21"/>
        <v>1</v>
      </c>
    </row>
    <row r="50" spans="1:28" x14ac:dyDescent="0.25">
      <c r="A50" s="3"/>
      <c r="B50" s="12"/>
      <c r="C50" s="12"/>
      <c r="D50" s="12"/>
      <c r="E50" s="28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8" x14ac:dyDescent="0.25">
      <c r="A51" s="12"/>
      <c r="B51" s="12"/>
      <c r="C51" s="3" t="s">
        <v>43</v>
      </c>
      <c r="D51" s="12"/>
      <c r="E51" s="28"/>
      <c r="F51" s="12"/>
      <c r="G51" s="12"/>
      <c r="H51" s="12"/>
      <c r="I51" s="12" t="s">
        <v>49</v>
      </c>
      <c r="J51" s="12"/>
      <c r="K51" s="12"/>
      <c r="L51" s="12"/>
      <c r="M51" s="12"/>
      <c r="N51" s="12" t="s">
        <v>40</v>
      </c>
      <c r="O51" s="12" t="s">
        <v>40</v>
      </c>
      <c r="P51" s="12"/>
      <c r="Q51" s="12"/>
      <c r="R51" s="12" t="s">
        <v>40</v>
      </c>
      <c r="S51" s="12"/>
      <c r="T51" s="12" t="s">
        <v>45</v>
      </c>
    </row>
    <row r="52" spans="1:28" x14ac:dyDescent="0.25">
      <c r="A52" s="12"/>
      <c r="B52" s="12"/>
      <c r="C52" s="12"/>
      <c r="D52" s="12"/>
      <c r="E52" s="28"/>
      <c r="F52" s="12"/>
      <c r="G52" s="12"/>
      <c r="H52" s="12"/>
      <c r="I52" s="12" t="s">
        <v>51</v>
      </c>
      <c r="J52" s="12"/>
      <c r="K52" s="12" t="s">
        <v>50</v>
      </c>
      <c r="L52" s="12"/>
      <c r="M52" s="12" t="s">
        <v>53</v>
      </c>
      <c r="N52" s="12" t="s">
        <v>50</v>
      </c>
      <c r="O52" s="12" t="s">
        <v>53</v>
      </c>
      <c r="P52" s="12"/>
      <c r="Q52" s="12"/>
      <c r="R52" s="12"/>
      <c r="S52" s="12"/>
      <c r="T52" s="12"/>
    </row>
    <row r="53" spans="1:28" x14ac:dyDescent="0.25">
      <c r="A53" s="12"/>
      <c r="B53" s="12"/>
      <c r="C53" s="12"/>
      <c r="D53" s="12"/>
      <c r="E53" s="28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8" x14ac:dyDescent="0.25">
      <c r="C54" s="12"/>
      <c r="K54" s="3" t="s">
        <v>52</v>
      </c>
      <c r="O54" s="3" t="s">
        <v>52</v>
      </c>
    </row>
    <row r="56" spans="1:28" s="5" customFormat="1" x14ac:dyDescent="0.25">
      <c r="A56" s="2"/>
      <c r="B56" s="2"/>
      <c r="W56" s="27"/>
      <c r="X56" s="27"/>
      <c r="Y56" s="27"/>
      <c r="Z56" s="27"/>
      <c r="AA56" s="27"/>
      <c r="AB56" s="27"/>
    </row>
    <row r="57" spans="1:28" x14ac:dyDescent="0.25">
      <c r="C57" s="8"/>
    </row>
  </sheetData>
  <conditionalFormatting sqref="I8:S8 C4:C30 D4:S7 D8:G8 D9:S30 C31:S32 T2:T33 H8:H28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V37 W3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2017-07-10T14:39:06Z</dcterms:modified>
</cp:coreProperties>
</file>