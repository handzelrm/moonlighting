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GdaUYJBVQJehly2iPWNUeVwE6x4I5HhzXQS8bXfAYNztXBeAofa8z2kifaajSN9guHCODzU/WVd3JJtOlbBqLA==" workbookSaltValue="60HdzbWdl9f1sWyLBZMhCQ==" workbookSpinCount="100000" lockStructure="1"/>
  <bookViews>
    <workbookView xWindow="0" yWindow="0" windowWidth="15617" windowHeight="3634"/>
  </bookViews>
  <sheets>
    <sheet name="July" sheetId="5" r:id="rId1"/>
    <sheet name="Master" sheetId="3" state="hidden" r:id="rId2"/>
  </sheets>
  <calcPr calcId="171027" concurrentCalc="0"/>
</workbook>
</file>

<file path=xl/calcChain.xml><?xml version="1.0" encoding="utf-8"?>
<calcChain xmlns="http://schemas.openxmlformats.org/spreadsheetml/2006/main">
  <c r="S35" i="3" l="1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5" i="5"/>
  <c r="T35" i="5"/>
  <c r="S39" i="3"/>
  <c r="S40" i="3"/>
  <c r="S41" i="3"/>
  <c r="S42" i="3"/>
  <c r="S43" i="3"/>
  <c r="S37" i="3"/>
  <c r="L35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L35" i="5"/>
  <c r="M35" i="3"/>
  <c r="M35" i="5"/>
  <c r="N35" i="3"/>
  <c r="N35" i="5"/>
  <c r="O35" i="3"/>
  <c r="O35" i="5"/>
  <c r="P35" i="3"/>
  <c r="P35" i="5"/>
  <c r="Q35" i="3"/>
  <c r="Q35" i="5"/>
  <c r="R35" i="3"/>
  <c r="R35" i="5"/>
  <c r="L36" i="3"/>
  <c r="L37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Q37" i="3"/>
  <c r="M37" i="3"/>
  <c r="N47" i="3"/>
  <c r="P37" i="3"/>
  <c r="R47" i="3"/>
  <c r="O37" i="3"/>
  <c r="R37" i="3"/>
  <c r="N37" i="3"/>
  <c r="Q47" i="3"/>
  <c r="M47" i="3"/>
  <c r="P47" i="3"/>
  <c r="L47" i="3"/>
  <c r="O47" i="3"/>
  <c r="X12" i="3"/>
  <c r="W3" i="3"/>
  <c r="X3" i="3"/>
  <c r="Y3" i="3"/>
  <c r="Z3" i="3"/>
  <c r="AA3" i="3"/>
  <c r="W4" i="3"/>
  <c r="X4" i="3"/>
  <c r="Y4" i="3"/>
  <c r="Z4" i="3"/>
  <c r="AA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AA2" i="3"/>
  <c r="Z2" i="3"/>
  <c r="Y2" i="3"/>
  <c r="X2" i="3"/>
  <c r="W2" i="3"/>
  <c r="W1" i="5"/>
  <c r="X1" i="5"/>
  <c r="Y1" i="5"/>
  <c r="Z1" i="5"/>
  <c r="W33" i="5"/>
  <c r="X33" i="5"/>
  <c r="Y33" i="5"/>
  <c r="Z33" i="5"/>
  <c r="W34" i="5"/>
  <c r="X34" i="5"/>
  <c r="Y34" i="5"/>
  <c r="Z34" i="5"/>
  <c r="W35" i="5"/>
  <c r="X35" i="5"/>
  <c r="Y35" i="5"/>
  <c r="Z35" i="5"/>
  <c r="V1" i="5"/>
  <c r="V33" i="5"/>
  <c r="V34" i="5"/>
  <c r="V35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Z3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X35" i="3"/>
  <c r="X36" i="3"/>
  <c r="X37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K47" i="3"/>
  <c r="G47" i="3"/>
  <c r="T47" i="3"/>
  <c r="F47" i="3"/>
  <c r="I47" i="3"/>
  <c r="H47" i="3"/>
  <c r="D47" i="3"/>
  <c r="C47" i="3"/>
  <c r="J47" i="3"/>
  <c r="E47" i="3"/>
  <c r="C35" i="3"/>
  <c r="D35" i="3"/>
  <c r="D35" i="5"/>
  <c r="E35" i="3"/>
  <c r="E35" i="5"/>
  <c r="F35" i="3"/>
  <c r="F35" i="5"/>
  <c r="G35" i="3"/>
  <c r="G35" i="5"/>
  <c r="H35" i="3"/>
  <c r="H35" i="5"/>
  <c r="I35" i="3"/>
  <c r="I35" i="5"/>
  <c r="J35" i="3"/>
  <c r="J35" i="5"/>
  <c r="K35" i="3"/>
  <c r="K35" i="5"/>
  <c r="W2" i="5"/>
  <c r="X2" i="5"/>
  <c r="Y2" i="5"/>
  <c r="Z2" i="5"/>
  <c r="W3" i="5"/>
  <c r="X3" i="5"/>
  <c r="Y3" i="5"/>
  <c r="Z3" i="5"/>
  <c r="W4" i="5"/>
  <c r="X4" i="5"/>
  <c r="Y4" i="5"/>
  <c r="Z4" i="5"/>
  <c r="W5" i="5"/>
  <c r="X5" i="5"/>
  <c r="Y5" i="5"/>
  <c r="Z5" i="5"/>
  <c r="W6" i="5"/>
  <c r="X6" i="5"/>
  <c r="Y6" i="5"/>
  <c r="Z6" i="5"/>
  <c r="W7" i="5"/>
  <c r="X7" i="5"/>
  <c r="Y7" i="5"/>
  <c r="Z7" i="5"/>
  <c r="W8" i="5"/>
  <c r="X8" i="5"/>
  <c r="Y8" i="5"/>
  <c r="Z8" i="5"/>
  <c r="W9" i="5"/>
  <c r="X9" i="5"/>
  <c r="Y9" i="5"/>
  <c r="Z9" i="5"/>
  <c r="W10" i="5"/>
  <c r="X10" i="5"/>
  <c r="Y10" i="5"/>
  <c r="Z10" i="5"/>
  <c r="W11" i="5"/>
  <c r="X11" i="5"/>
  <c r="Y11" i="5"/>
  <c r="Z11" i="5"/>
  <c r="W12" i="5"/>
  <c r="X12" i="5"/>
  <c r="Y12" i="5"/>
  <c r="Z12" i="5"/>
  <c r="W13" i="5"/>
  <c r="X13" i="5"/>
  <c r="Y13" i="5"/>
  <c r="Z13" i="5"/>
  <c r="W14" i="5"/>
  <c r="X14" i="5"/>
  <c r="Y14" i="5"/>
  <c r="Z14" i="5"/>
  <c r="W15" i="5"/>
  <c r="X15" i="5"/>
  <c r="Y15" i="5"/>
  <c r="Z15" i="5"/>
  <c r="W16" i="5"/>
  <c r="X16" i="5"/>
  <c r="Y16" i="5"/>
  <c r="Z16" i="5"/>
  <c r="W17" i="5"/>
  <c r="X17" i="5"/>
  <c r="Y17" i="5"/>
  <c r="Z17" i="5"/>
  <c r="W18" i="5"/>
  <c r="X18" i="5"/>
  <c r="Y18" i="5"/>
  <c r="Z18" i="5"/>
  <c r="W19" i="5"/>
  <c r="X19" i="5"/>
  <c r="Y19" i="5"/>
  <c r="Z19" i="5"/>
  <c r="W20" i="5"/>
  <c r="X20" i="5"/>
  <c r="Y20" i="5"/>
  <c r="Z20" i="5"/>
  <c r="W21" i="5"/>
  <c r="X21" i="5"/>
  <c r="Y21" i="5"/>
  <c r="Z21" i="5"/>
  <c r="W22" i="5"/>
  <c r="X22" i="5"/>
  <c r="Y22" i="5"/>
  <c r="Z22" i="5"/>
  <c r="W23" i="5"/>
  <c r="X23" i="5"/>
  <c r="Y23" i="5"/>
  <c r="Z23" i="5"/>
  <c r="W24" i="5"/>
  <c r="X24" i="5"/>
  <c r="Y24" i="5"/>
  <c r="Z24" i="5"/>
  <c r="W25" i="5"/>
  <c r="X25" i="5"/>
  <c r="Y25" i="5"/>
  <c r="Z25" i="5"/>
  <c r="W26" i="5"/>
  <c r="X26" i="5"/>
  <c r="Y26" i="5"/>
  <c r="Z26" i="5"/>
  <c r="W27" i="5"/>
  <c r="X27" i="5"/>
  <c r="Y27" i="5"/>
  <c r="Z27" i="5"/>
  <c r="W28" i="5"/>
  <c r="X28" i="5"/>
  <c r="Y28" i="5"/>
  <c r="Z28" i="5"/>
  <c r="W29" i="5"/>
  <c r="X29" i="5"/>
  <c r="Y29" i="5"/>
  <c r="Z29" i="5"/>
  <c r="W30" i="5"/>
  <c r="X30" i="5"/>
  <c r="Y30" i="5"/>
  <c r="Z30" i="5"/>
  <c r="W31" i="5"/>
  <c r="X31" i="5"/>
  <c r="Y31" i="5"/>
  <c r="X32" i="3"/>
  <c r="W32" i="5"/>
  <c r="Y32" i="3"/>
  <c r="X32" i="5"/>
  <c r="Z32" i="3"/>
  <c r="Y32" i="5"/>
  <c r="AA32" i="3"/>
  <c r="Z3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W32" i="3"/>
  <c r="V32" i="5"/>
  <c r="V2" i="5"/>
  <c r="T37" i="3"/>
  <c r="K37" i="3"/>
  <c r="E37" i="3"/>
  <c r="G37" i="3"/>
  <c r="I37" i="3"/>
  <c r="D37" i="3"/>
  <c r="H37" i="3"/>
  <c r="J37" i="3"/>
  <c r="C35" i="5"/>
  <c r="C37" i="3"/>
  <c r="F37" i="3"/>
</calcChain>
</file>

<file path=xl/sharedStrings.xml><?xml version="1.0" encoding="utf-8"?>
<sst xmlns="http://schemas.openxmlformats.org/spreadsheetml/2006/main" count="452" uniqueCount="72">
  <si>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</si>
  <si>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</si>
  <si>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</si>
  <si>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</si>
  <si>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</si>
  <si>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</si>
  <si>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</si>
  <si>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</si>
  <si>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</si>
  <si>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</si>
  <si>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</si>
  <si>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</si>
  <si>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</si>
  <si>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</si>
  <si>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</si>
  <si>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</si>
  <si>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</si>
  <si>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</si>
  <si>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</si>
  <si>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</si>
  <si>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</si>
  <si>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</si>
  <si>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</si>
  <si>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</si>
  <si>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</si>
  <si>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</si>
  <si>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</si>
  <si>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</si>
  <si>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</si>
  <si>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</si>
  <si>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</si>
  <si>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</si>
  <si>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</si>
  <si>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</si>
  <si>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</si>
  <si>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</si>
  <si>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</si>
  <si>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</si>
  <si>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</si>
  <si>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5</t>
  </si>
  <si>
    <t>x</t>
  </si>
  <si>
    <t>Everyone had a trauma</t>
  </si>
  <si>
    <t>4</t>
  </si>
  <si>
    <t>long ct</t>
  </si>
  <si>
    <t>3</t>
  </si>
  <si>
    <t>Egro</t>
  </si>
  <si>
    <t>3-4</t>
  </si>
  <si>
    <t>no fri/sat</t>
  </si>
  <si>
    <t>hates chp jr</t>
  </si>
  <si>
    <t>0</t>
  </si>
  <si>
    <t>Trauma will  have 15-19 shifts</t>
  </si>
  <si>
    <t>2-3</t>
  </si>
  <si>
    <t>long ct sun</t>
  </si>
  <si>
    <t>no chp until 22nd</t>
  </si>
  <si>
    <t>Non-CT Req</t>
  </si>
  <si>
    <t>All Serv Req</t>
  </si>
  <si>
    <t>Max Res Req</t>
  </si>
  <si>
    <t>jr trauma</t>
  </si>
  <si>
    <t>jr trauma wkend</t>
  </si>
  <si>
    <t>6</t>
  </si>
  <si>
    <t>Kristina Nicholson (4178)</t>
  </si>
  <si>
    <t>Todd Yecies (4391)</t>
  </si>
  <si>
    <t>Sara Myers (4186)</t>
  </si>
  <si>
    <t>Rob Handzel (8637)</t>
  </si>
  <si>
    <t>Shreyus Kulkarni (4185)</t>
  </si>
  <si>
    <t>Matthew Pommerening (5967)</t>
  </si>
  <si>
    <t>James Gallagher (4180)</t>
  </si>
  <si>
    <t>Frances Okolo (8645)</t>
  </si>
  <si>
    <t>Shaun Siow (8647)</t>
  </si>
  <si>
    <t>Mark Cyr (4172)</t>
  </si>
  <si>
    <t>Shruyus Kulkarni (4185)</t>
  </si>
  <si>
    <t>Vernissia Tam (8648)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</si>
</sst>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3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49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10" fontId="0" fillId="2" borderId="0" xfId="0" applyNumberFormat="1" applyFill="1" applyAlignment="1" applyProtection="1">
      <alignment horizontal="center"/>
      <protection hidden="1"/>
    </xf>
    <xf numFmtId="0" fontId="10" fillId="2" borderId="0" xfId="0" applyFont="1" applyFill="1" applyBorder="1" applyAlignment="1">
      <alignment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P2" activePane="bottomRight" state="frozen"/>
      <selection pane="topRight" activeCell="C1" sqref="C1"/>
      <selection pane="bottomLeft" activeCell="A2" sqref="A2"/>
      <selection pane="bottomRight" activeCell="A37" sqref="A37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Sat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>x</v>
      </c>
      <c r="F2" s="13" t="str">
        <f>IF(ISBLANK(Master!F2),"",Master!F2)</f>
        <v>x</v>
      </c>
      <c r="G2" s="13">
        <f>IF(ISBLANK(Master!G2),"",Master!G2)</f>
        <v>0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>x</v>
      </c>
      <c r="K2" s="13" t="str">
        <f>IF(ISBLANK(Master!K2),"",Master!K2)</f>
        <v>x</v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NEEDS COVERAGE</v>
      </c>
    </row>
    <row r="3" spans="1:26" x14ac:dyDescent="0.4">
      <c r="A3" s="13" t="str">
        <f>IF(ISBLANK(Master!A3),"",Master!A3)</f>
        <v>Sun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 t="str">
        <f>IF(ISBLANK(Master!G3),"",Master!G3)</f>
        <v>SHY</v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>x</v>
      </c>
      <c r="K3" s="13" t="str">
        <f>IF(ISBLANK(Master!K3),"",Master!K3)</f>
        <v>x</v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>CT</v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/>
      </c>
      <c r="W3" s="13" t="str">
        <f>IF(ISBLANK(Master!X3),"",Master!X3)</f>
        <v>Handzel</v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Nicholson</v>
      </c>
    </row>
    <row r="4" spans="1:26" x14ac:dyDescent="0.4">
      <c r="A4" s="13" t="str">
        <f>IF(ISBLANK(Master!A4),"",Master!A4)</f>
        <v>Mon</v>
      </c>
      <c r="B4" s="13">
        <f>IF(ISBLANK(Master!B4),"",Master!B4)</f>
        <v>3</v>
      </c>
      <c r="C4" s="13" t="str">
        <f>IF(ISBLANK(Master!C4),"",Master!C4)</f>
        <v>Trauma</v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>CHP Sr.</v>
      </c>
      <c r="I4" s="13" t="str">
        <f>IF(ISBLANK(Master!I4),"",Master!I4)</f>
        <v>x</v>
      </c>
      <c r="J4" s="13" t="str">
        <f>IF(ISBLANK(Master!J4),"",Master!J4)</f>
        <v>x</v>
      </c>
      <c r="K4" s="13" t="str">
        <f>IF(ISBLANK(Master!K4),"",Master!K4)</f>
        <v>x</v>
      </c>
      <c r="L4" s="13" t="str">
        <f>IF(ISBLANK(Master!L4),"",Master!L4)</f>
        <v>SHY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>Dyer</v>
      </c>
      <c r="W4" s="13" t="str">
        <f>IF(ISBLANK(Master!X4),"",Master!X4)</f>
        <v>Cyr</v>
      </c>
      <c r="X4" s="13" t="str">
        <f>IF(ISBLANK(Master!Y4),"",Master!Y4)</f>
        <v>Hill (Kirk)</v>
      </c>
      <c r="Y4" s="13" t="str">
        <f>IF(ISBLANK(Master!Z4),"",Master!Z4)</f>
        <v/>
      </c>
      <c r="Z4" s="13" t="str">
        <f>IF(ISBLANK(Master!AA4),"",Master!AA4)</f>
        <v>NEEDS COVERAGE</v>
      </c>
    </row>
    <row r="5" spans="1:26" x14ac:dyDescent="0.4">
      <c r="A5" s="13" t="str">
        <f>IF(ISBLANK(Master!A5),"",Master!A5)</f>
        <v>Tue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x</v>
      </c>
      <c r="E5" s="13" t="str">
        <f>IF(ISBLANK(Master!E5),"",Master!E5)</f>
        <v>x</v>
      </c>
      <c r="F5" s="13" t="str">
        <f>IF(ISBLANK(Master!F5),"",Master!F5)</f>
        <v>x</v>
      </c>
      <c r="G5" s="13" t="str">
        <f>IF(ISBLANK(Master!G5),"",Master!G5)</f>
        <v>x</v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>x</v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>Trauma</v>
      </c>
      <c r="N5" s="13" t="str">
        <f>IF(ISBLANK(Master!N5),"",Master!N5)</f>
        <v/>
      </c>
      <c r="O5" s="13" t="str">
        <f>IF(ISBLANK(Master!O5),"",Master!O5)</f>
        <v>SHY</v>
      </c>
      <c r="P5" s="13" t="str">
        <f>IF(ISBLANK(Master!P5),"",Master!P5)</f>
        <v>x</v>
      </c>
      <c r="Q5" s="13" t="str">
        <f>IF(ISBLANK(Master!Q5),"",Master!Q5)</f>
        <v>CT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>Dadashzadeh</v>
      </c>
      <c r="W5" s="13" t="str">
        <f>IF(ISBLANK(Master!X5),"",Master!X5)</f>
        <v>Huckaby</v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Myers</v>
      </c>
    </row>
    <row r="6" spans="1:26" x14ac:dyDescent="0.4">
      <c r="A6" s="13" t="str">
        <f>IF(ISBLANK(Master!A6),"",Master!A6)</f>
        <v>Wed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>Trauma</v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>CT</v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>SHY</v>
      </c>
      <c r="K6" s="13" t="str">
        <f>IF(ISBLANK(Master!K6),"",Master!K6)</f>
        <v>x</v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>Van Der Windt</v>
      </c>
      <c r="W6" s="13" t="str">
        <f>IF(ISBLANK(Master!X6),"",Master!X6)</f>
        <v>Siow</v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Handzel</v>
      </c>
    </row>
    <row r="7" spans="1:26" x14ac:dyDescent="0.4">
      <c r="A7" s="13" t="str">
        <f>IF(ISBLANK(Master!A7),"",Master!A7)</f>
        <v>Thu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>SHY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>CT</v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Okolo</v>
      </c>
      <c r="X7" s="13" t="str">
        <f>IF(ISBLANK(Master!Y7),"",Master!Y7)</f>
        <v/>
      </c>
      <c r="Y7" s="13" t="str">
        <f>IF(ISBLANK(Master!Z7),"",Master!Z7)</f>
        <v>NEEDS COVERAGE</v>
      </c>
      <c r="Z7" s="13" t="str">
        <f>IF(ISBLANK(Master!AA7),"",Master!AA7)</f>
        <v>Kulkarni</v>
      </c>
    </row>
    <row r="8" spans="1:26" x14ac:dyDescent="0.4">
      <c r="A8" s="13" t="str">
        <f>IF(ISBLANK(Master!A8),"",Master!A8)</f>
        <v>Fri</v>
      </c>
      <c r="B8" s="13">
        <f>IF(ISBLANK(Master!B8),"",Master!B8)</f>
        <v>7</v>
      </c>
      <c r="C8" s="13" t="str">
        <f>IF(ISBLANK(Master!C8),"",Master!C8)</f>
        <v>Trauma</v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/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>CHP Jr.</v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Dyer</v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>Huckaby</v>
      </c>
      <c r="Z8" s="13" t="str">
        <f>IF(ISBLANK(Master!AA8),"",Master!AA8)</f>
        <v>NEEDS COVERAGE</v>
      </c>
    </row>
    <row r="9" spans="1:26" x14ac:dyDescent="0.4">
      <c r="A9" s="13" t="str">
        <f>IF(ISBLANK(Master!A9),"",Master!A9)</f>
        <v>Sat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>Trauma</v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>Yeh</v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</row>
    <row r="10" spans="1:26" x14ac:dyDescent="0.4">
      <c r="A10" s="13" t="str">
        <f>IF(ISBLANK(Master!A10),"",Master!A10)</f>
        <v>Sun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>CHP Sr.</v>
      </c>
      <c r="E10" s="13" t="str">
        <f>IF(ISBLANK(Master!E10),"",Master!E10)</f>
        <v/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SHY</v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>CT</v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/>
      </c>
      <c r="W10" s="13" t="str">
        <f>IF(ISBLANK(Master!X10),"",Master!X10)</f>
        <v>Tam</v>
      </c>
      <c r="X10" s="13" t="str">
        <f>IF(ISBLANK(Master!Y10),"",Master!Y10)</f>
        <v>Van Der Windt</v>
      </c>
      <c r="Y10" s="13" t="str">
        <f>IF(ISBLANK(Master!Z10),"",Master!Z10)</f>
        <v/>
      </c>
      <c r="Z10" s="13" t="str">
        <f>IF(ISBLANK(Master!AA10),"",Master!AA10)</f>
        <v>Gallagher</v>
      </c>
    </row>
    <row r="11" spans="1:26" x14ac:dyDescent="0.4">
      <c r="A11" s="13" t="str">
        <f>IF(ISBLANK(Master!A11),"",Master!A11)</f>
        <v>Mon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/>
      </c>
      <c r="F11" s="13" t="str">
        <f>IF(ISBLANK(Master!F11),"",Master!F11)</f>
        <v/>
      </c>
      <c r="G11" s="13" t="str">
        <f>IF(ISBLANK(Master!G11),"",Master!G11)</f>
        <v>x</v>
      </c>
      <c r="H11" s="13" t="str">
        <f>IF(ISBLANK(Master!H11),"",Master!H11)</f>
        <v>SHY</v>
      </c>
      <c r="I11" s="13" t="str">
        <f>IF(ISBLANK(Master!I11),"",Master!I11)</f>
        <v>CT</v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>Trauma</v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>Nicholson</v>
      </c>
      <c r="W11" s="13" t="str">
        <f>IF(ISBLANK(Master!X11),"",Master!X11)</f>
        <v>Hill (Kirk)</v>
      </c>
      <c r="X11" s="13" t="str">
        <f>IF(ISBLANK(Master!Y11),"",Master!Y11)</f>
        <v/>
      </c>
      <c r="Y11" s="13" t="str">
        <f>IF(ISBLANK(Master!Z11),"",Master!Z11)</f>
        <v>NEEDS COVERAGE</v>
      </c>
      <c r="Z11" s="13" t="str">
        <f>IF(ISBLANK(Master!AA11),"",Master!AA11)</f>
        <v>Okolo</v>
      </c>
    </row>
    <row r="12" spans="1:26" x14ac:dyDescent="0.4">
      <c r="A12" s="13" t="str">
        <f>IF(ISBLANK(Master!A12),"",Master!A12)</f>
        <v>Tue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>Trauma</v>
      </c>
      <c r="H12" s="13" t="str">
        <f>IF(ISBLANK(Master!H12),"",Master!H12)</f>
        <v/>
      </c>
      <c r="I12" s="13" t="str">
        <f>IF(ISBLANK(Master!I12),"",Master!I12)</f>
        <v>x</v>
      </c>
      <c r="J12" s="13" t="str">
        <f>IF(ISBLANK(Master!J12),"",Master!J12)</f>
        <v>CT</v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>SHY</v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>x</v>
      </c>
      <c r="V12" s="13" t="str">
        <f>IF(ISBLANK(Master!W12),"",Master!W12)</f>
        <v>Handzel</v>
      </c>
      <c r="W12" s="13" t="str">
        <f>IF(ISBLANK(Master!X12),"",Master!X12)</f>
        <v>Dadashzadeh</v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>Siow</v>
      </c>
    </row>
    <row r="13" spans="1:26" x14ac:dyDescent="0.4">
      <c r="A13" s="13" t="str">
        <f>IF(ISBLANK(Master!A13),"",Master!A13)</f>
        <v>Wed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>CHP Sr.</v>
      </c>
      <c r="F13" s="13" t="str">
        <f>IF(ISBLANK(Master!F13),"",Master!F13)</f>
        <v/>
      </c>
      <c r="G13" s="13" t="str">
        <f>IF(ISBLANK(Master!G13),"",Master!G13)</f>
        <v>x</v>
      </c>
      <c r="H13" s="13" t="str">
        <f>IF(ISBLANK(Master!H13),"",Master!H13)</f>
        <v/>
      </c>
      <c r="I13" s="13" t="str">
        <f>IF(ISBLANK(Master!I13),"",Master!I13)</f>
        <v>x</v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>SHY</v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>CT</v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>Kulkarni</v>
      </c>
      <c r="X13" s="13" t="str">
        <f>IF(ISBLANK(Master!Y13),"",Master!Y13)</f>
        <v>Yeh</v>
      </c>
      <c r="Y13" s="13" t="str">
        <f>IF(ISBLANK(Master!Z13),"",Master!Z13)</f>
        <v/>
      </c>
      <c r="Z13" s="13" t="str">
        <f>IF(ISBLANK(Master!AA13),"",Master!AA13)</f>
        <v>Yecies</v>
      </c>
    </row>
    <row r="14" spans="1:26" x14ac:dyDescent="0.4">
      <c r="A14" s="13" t="str">
        <f>IF(ISBLANK(Master!A14),"",Master!A14)</f>
        <v>Thu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>CHP Jr.</v>
      </c>
      <c r="L14" s="13" t="str">
        <f>IF(ISBLANK(Master!L14),"",Master!L14)</f>
        <v>CT</v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>SHY</v>
      </c>
      <c r="S14" s="13" t="str">
        <f>IF(ISBLANK(Master!S14),"",Master!S14)</f>
        <v/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Nicholson</v>
      </c>
      <c r="X14" s="13" t="str">
        <f>IF(ISBLANK(Master!Y14),"",Master!Y14)</f>
        <v/>
      </c>
      <c r="Y14" s="13" t="str">
        <f>IF(ISBLANK(Master!Z14),"",Master!Z14)</f>
        <v>Tam</v>
      </c>
      <c r="Z14" s="13" t="str">
        <f>IF(ISBLANK(Master!AA14),"",Master!AA14)</f>
        <v>Cyr</v>
      </c>
    </row>
    <row r="15" spans="1:26" x14ac:dyDescent="0.4">
      <c r="A15" s="13" t="str">
        <f>IF(ISBLANK(Master!A15),"",Master!A15)</f>
        <v>Fri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Trauma</v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>Gallagher</v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NEEDS COVERAGE</v>
      </c>
    </row>
    <row r="16" spans="1:26" x14ac:dyDescent="0.4">
      <c r="A16" s="13" t="str">
        <f>IF(ISBLANK(Master!A16),"",Master!A16)</f>
        <v>Sat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>x</v>
      </c>
      <c r="F16" s="13" t="str">
        <f>IF(ISBLANK(Master!F16),"",Master!F16)</f>
        <v>Trauma</v>
      </c>
      <c r="G16" s="13" t="str">
        <f>IF(ISBLANK(Master!G16),"",Master!G16)</f>
        <v/>
      </c>
      <c r="H16" s="13" t="str">
        <f>IF(ISBLANK(Master!H16),"",Master!H16)</f>
        <v/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>Griepentrog</v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4">
      <c r="A17" s="13" t="str">
        <f>IF(ISBLANK(Master!A17),"",Master!A17)</f>
        <v>Sun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/>
      </c>
      <c r="G17" s="13" t="str">
        <f>IF(ISBLANK(Master!G17),"",Master!G17)</f>
        <v>x</v>
      </c>
      <c r="H17" s="13" t="str">
        <f>IF(ISBLANK(Master!H17),"",Master!H17)</f>
        <v/>
      </c>
      <c r="I17" s="13" t="str">
        <f>IF(ISBLANK(Master!I17),"",Master!I17)</f>
        <v>x</v>
      </c>
      <c r="J17" s="13" t="str">
        <f>IF(ISBLANK(Master!J17),"",Master!J17)</f>
        <v/>
      </c>
      <c r="K17" s="13" t="str">
        <f>IF(ISBLANK(Master!K17),"",Master!K17)</f>
        <v>CHP Sr.</v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>SHY</v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/>
      </c>
      <c r="W17" s="13" t="str">
        <f>IF(ISBLANK(Master!X17),"",Master!X17)</f>
        <v>Huckaby</v>
      </c>
      <c r="X17" s="13" t="str">
        <f>IF(ISBLANK(Master!Y17),"",Master!Y17)</f>
        <v>Tam</v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4">
      <c r="A18" s="13" t="str">
        <f>IF(ISBLANK(Master!A18),"",Master!A18)</f>
        <v>Mon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>CHP Sr.</v>
      </c>
      <c r="E18" s="13" t="str">
        <f>IF(ISBLANK(Master!E18),"",Master!E18)</f>
        <v>x</v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>Trauma</v>
      </c>
      <c r="J18" s="13" t="str">
        <f>IF(ISBLANK(Master!J18),"",Master!J18)</f>
        <v/>
      </c>
      <c r="K18" s="13" t="str">
        <f>IF(ISBLANK(Master!K18),"",Master!K18)</f>
        <v/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>CT</v>
      </c>
      <c r="Q18" s="13" t="str">
        <f>IF(ISBLANK(Master!Q18),"",Master!Q18)</f>
        <v/>
      </c>
      <c r="R18" s="13" t="str">
        <f>IF(ISBLANK(Master!R18),"",Master!R18)</f>
        <v>SHY</v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>Okolo</v>
      </c>
      <c r="W18" s="13" t="str">
        <f>IF(ISBLANK(Master!X18),"",Master!X18)</f>
        <v>Nicholson</v>
      </c>
      <c r="X18" s="13" t="str">
        <f>IF(ISBLANK(Master!Y18),"",Master!Y18)</f>
        <v>Van Der Windt</v>
      </c>
      <c r="Y18" s="13" t="str">
        <f>IF(ISBLANK(Master!Z18),"",Master!Z18)</f>
        <v/>
      </c>
      <c r="Z18" s="13" t="str">
        <f>IF(ISBLANK(Master!AA18),"",Master!AA18)</f>
        <v>Kulkarni</v>
      </c>
    </row>
    <row r="19" spans="1:26" x14ac:dyDescent="0.4">
      <c r="A19" s="13" t="str">
        <f>IF(ISBLANK(Master!A19),"",Master!A19)</f>
        <v>Tue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>CHP Sr.</v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SHY</v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>CT</v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>Gallagher</v>
      </c>
      <c r="X19" s="13" t="str">
        <f>IF(ISBLANK(Master!Y19),"",Master!Y19)</f>
        <v>Handzel</v>
      </c>
      <c r="Y19" s="13" t="str">
        <f>IF(ISBLANK(Master!Z19),"",Master!Z19)</f>
        <v/>
      </c>
      <c r="Z19" s="13" t="str">
        <f>IF(ISBLANK(Master!AA19),"",Master!AA19)</f>
        <v>Yecies</v>
      </c>
    </row>
    <row r="20" spans="1:26" x14ac:dyDescent="0.4">
      <c r="A20" s="13" t="str">
        <f>IF(ISBLANK(Master!A20),"",Master!A20)</f>
        <v>Wed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>x</v>
      </c>
      <c r="H20" s="13" t="str">
        <f>IF(ISBLANK(Master!H20),"",Master!H20)</f>
        <v/>
      </c>
      <c r="I20" s="13" t="str">
        <f>IF(ISBLANK(Master!I20),"",Master!I20)</f>
        <v/>
      </c>
      <c r="J20" s="13" t="str">
        <f>IF(ISBLANK(Master!J20),"",Master!J20)</f>
        <v>Trauma</v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>SHY</v>
      </c>
      <c r="N20" s="13" t="str">
        <f>IF(ISBLANK(Master!N20),"",Master!N20)</f>
        <v/>
      </c>
      <c r="O20" s="13" t="str">
        <f>IF(ISBLANK(Master!O20),"",Master!O20)</f>
        <v>CHP Jr.</v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>Siow</v>
      </c>
      <c r="W20" s="13" t="str">
        <f>IF(ISBLANK(Master!X20),"",Master!X20)</f>
        <v>Dadashzadeh</v>
      </c>
      <c r="X20" s="13" t="str">
        <f>IF(ISBLANK(Master!Y20),"",Master!Y20)</f>
        <v/>
      </c>
      <c r="Y20" s="13" t="str">
        <f>IF(ISBLANK(Master!Z20),"",Master!Z20)</f>
        <v>Huckaby</v>
      </c>
      <c r="Z20" s="13" t="str">
        <f>IF(ISBLANK(Master!AA20),"",Master!AA20)</f>
        <v>NEEDS COVERAGE</v>
      </c>
    </row>
    <row r="21" spans="1:26" x14ac:dyDescent="0.4">
      <c r="A21" s="13" t="str">
        <f>IF(ISBLANK(Master!A21),"",Master!A21)</f>
        <v>Thu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SHY</v>
      </c>
      <c r="E21" s="13" t="str">
        <f>IF(ISBLANK(Master!E21),"",Master!E21)</f>
        <v/>
      </c>
      <c r="F21" s="13" t="str">
        <f>IF(ISBLANK(Master!F21),"",Master!F21)</f>
        <v>CHP Jr.</v>
      </c>
      <c r="G21" s="13" t="str">
        <f>IF(ISBLANK(Master!G21),"",Master!G21)</f>
        <v/>
      </c>
      <c r="H21" s="13" t="str">
        <f>IF(ISBLANK(Master!H21),"",Master!H21)</f>
        <v>x</v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>Trauma</v>
      </c>
      <c r="R21" s="13" t="str">
        <f>IF(ISBLANK(Master!R21),"",Master!R21)</f>
        <v>x</v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>Myers</v>
      </c>
      <c r="W21" s="13" t="str">
        <f>IF(ISBLANK(Master!X21),"",Master!X21)</f>
        <v>Van Der Windt</v>
      </c>
      <c r="X21" s="13" t="str">
        <f>IF(ISBLANK(Master!Y21),"",Master!Y21)</f>
        <v/>
      </c>
      <c r="Y21" s="13" t="str">
        <f>IF(ISBLANK(Master!Z21),"",Master!Z21)</f>
        <v>Griepentrog</v>
      </c>
      <c r="Z21" s="13" t="str">
        <f>IF(ISBLANK(Master!AA21),"",Master!AA21)</f>
        <v>NEEDS COVERAGE</v>
      </c>
    </row>
    <row r="22" spans="1:26" x14ac:dyDescent="0.4">
      <c r="A22" s="13" t="str">
        <f>IF(ISBLANK(Master!A22),"",Master!A22)</f>
        <v>Fri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>CHP Sr.</v>
      </c>
      <c r="J22" s="13" t="str">
        <f>IF(ISBLANK(Master!J22),"",Master!J22)</f>
        <v>x</v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>Trauma</v>
      </c>
      <c r="Q22" s="13" t="str">
        <f>IF(ISBLANK(Master!Q22),"",Master!Q22)</f>
        <v/>
      </c>
      <c r="R22" s="13" t="str">
        <f>IF(ISBLANK(Master!R22),"",Master!R22)</f>
        <v>x</v>
      </c>
      <c r="S22" s="13" t="str">
        <f>IF(ISBLANK(Master!S22),"",Master!S22)</f>
        <v>CT</v>
      </c>
      <c r="T22" s="13" t="str">
        <f>IF(ISBLANK(Master!T22),"",Master!T22)</f>
        <v>x</v>
      </c>
      <c r="V22" s="13" t="str">
        <f>IF(ISBLANK(Master!W22),"",Master!W22)</f>
        <v>Kulkarni</v>
      </c>
      <c r="W22" s="13" t="str">
        <f>IF(ISBLANK(Master!X22),"",Master!X22)</f>
        <v/>
      </c>
      <c r="X22" s="13" t="str">
        <f>IF(ISBLANK(Master!Y22),"",Master!Y22)</f>
        <v>Okolo</v>
      </c>
      <c r="Y22" s="13" t="str">
        <f>IF(ISBLANK(Master!Z22),"",Master!Z22)</f>
        <v/>
      </c>
      <c r="Z22" s="13" t="str">
        <f>IF(ISBLANK(Master!AA22),"",Master!AA22)</f>
        <v>Yecies</v>
      </c>
    </row>
    <row r="23" spans="1:26" x14ac:dyDescent="0.4">
      <c r="A23" s="13" t="str">
        <f>IF(ISBLANK(Master!A23),"",Master!A23)</f>
        <v>Sat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>x</v>
      </c>
      <c r="H23" s="13" t="str">
        <f>IF(ISBLANK(Master!H23),"",Master!H23)</f>
        <v>Trauma</v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>Hill (Kirk)</v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</row>
    <row r="24" spans="1:26" x14ac:dyDescent="0.4">
      <c r="A24" s="13" t="str">
        <f>IF(ISBLANK(Master!A24),"",Master!A24)</f>
        <v>Sun</v>
      </c>
      <c r="B24" s="13">
        <f>IF(ISBLANK(Master!B24),"",Master!B24)</f>
        <v>23</v>
      </c>
      <c r="C24" s="13" t="str">
        <f>IF(ISBLANK(Master!C24),"",Master!C24)</f>
        <v>CHP Sr.</v>
      </c>
      <c r="D24" s="13" t="str">
        <f>IF(ISBLANK(Master!D24),"",Master!D24)</f>
        <v/>
      </c>
      <c r="E24" s="13" t="str">
        <f>IF(ISBLANK(Master!E24),"",Master!E24)</f>
        <v>x</v>
      </c>
      <c r="F24" s="13" t="str">
        <f>IF(ISBLANK(Master!F24),"",Master!F24)</f>
        <v/>
      </c>
      <c r="G24" s="13" t="str">
        <f>IF(ISBLANK(Master!G24),"",Master!G24)</f>
        <v>x</v>
      </c>
      <c r="H24" s="13" t="str">
        <f>IF(ISBLANK(Master!H24),"",Master!H24)</f>
        <v/>
      </c>
      <c r="I24" s="13" t="str">
        <f>IF(ISBLANK(Master!I24),"",Master!I24)</f>
        <v>x</v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>CT</v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>SHY</v>
      </c>
      <c r="R24" s="13" t="str">
        <f>IF(ISBLANK(Master!R24),"",Master!R24)</f>
        <v>x</v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/>
      </c>
      <c r="W24" s="13" t="str">
        <f>IF(ISBLANK(Master!X24),"",Master!X24)</f>
        <v>Myers</v>
      </c>
      <c r="X24" s="13" t="str">
        <f>IF(ISBLANK(Master!Y24),"",Master!Y24)</f>
        <v>Dyer</v>
      </c>
      <c r="Y24" s="13" t="str">
        <f>IF(ISBLANK(Master!Z24),"",Master!Z24)</f>
        <v/>
      </c>
      <c r="Z24" s="13" t="str">
        <f>IF(ISBLANK(Master!AA24),"",Master!AA24)</f>
        <v>Gallagher</v>
      </c>
    </row>
    <row r="25" spans="1:26" x14ac:dyDescent="0.4">
      <c r="A25" s="13" t="str">
        <f>IF(ISBLANK(Master!A25),"",Master!A25)</f>
        <v>Mon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>CHP Sr.</v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/>
      </c>
      <c r="L25" s="13" t="str">
        <f>IF(ISBLANK(Master!L25),"",Master!L25)</f>
        <v>Trauma</v>
      </c>
      <c r="M25" s="13" t="str">
        <f>IF(ISBLANK(Master!M25),"",Master!M25)</f>
        <v>SHY</v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>Cyr</v>
      </c>
      <c r="W25" s="13" t="str">
        <f>IF(ISBLANK(Master!X25),"",Master!X25)</f>
        <v>Dadashzadeh</v>
      </c>
      <c r="X25" s="13" t="str">
        <f>IF(ISBLANK(Master!Y25),"",Master!Y25)</f>
        <v>Handzel</v>
      </c>
      <c r="Y25" s="13" t="str">
        <f>IF(ISBLANK(Master!Z25),"",Master!Z25)</f>
        <v/>
      </c>
      <c r="Z25" s="13" t="str">
        <f>IF(ISBLANK(Master!AA25),"",Master!AA25)</f>
        <v>NEEDS COVERAGE</v>
      </c>
    </row>
    <row r="26" spans="1:26" x14ac:dyDescent="0.4">
      <c r="A26" s="13" t="str">
        <f>IF(ISBLANK(Master!A26),"",Master!A26)</f>
        <v>Tue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>x</v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>CHP Sr.</v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>CT</v>
      </c>
      <c r="L26" s="13" t="str">
        <f>IF(ISBLANK(Master!L26),"",Master!L26)</f>
        <v/>
      </c>
      <c r="M26" s="13" t="str">
        <f>IF(ISBLANK(Master!M26),"",Master!M26)</f>
        <v>x</v>
      </c>
      <c r="N26" s="13" t="str">
        <f>IF(ISBLANK(Master!N26),"",Master!N26)</f>
        <v/>
      </c>
      <c r="O26" s="13" t="str">
        <f>IF(ISBLANK(Master!O26),"",Master!O26)</f>
        <v>Trauma</v>
      </c>
      <c r="P26" s="13" t="str">
        <f>IF(ISBLANK(Master!P26),"",Master!P26)</f>
        <v>SHY</v>
      </c>
      <c r="Q26" s="13" t="str">
        <f>IF(ISBLANK(Master!Q26),"",Master!Q26)</f>
        <v>x</v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Huckaby</v>
      </c>
      <c r="W26" s="13" t="str">
        <f>IF(ISBLANK(Master!X26),"",Master!X26)</f>
        <v>Kulkarni</v>
      </c>
      <c r="X26" s="13" t="str">
        <f>IF(ISBLANK(Master!Y26),"",Master!Y26)</f>
        <v>Hill (Kirk)</v>
      </c>
      <c r="Y26" s="13" t="str">
        <f>IF(ISBLANK(Master!Z26),"",Master!Z26)</f>
        <v/>
      </c>
      <c r="Z26" s="13" t="str">
        <f>IF(ISBLANK(Master!AA26),"",Master!AA26)</f>
        <v>Tam</v>
      </c>
    </row>
    <row r="27" spans="1:26" x14ac:dyDescent="0.4">
      <c r="A27" s="13" t="str">
        <f>IF(ISBLANK(Master!A27),"",Master!A27)</f>
        <v>Wed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>Trauma</v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>CHP Sr.</v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IF(ISBLANK(Master!M27),"",Master!M27)</f>
        <v>x</v>
      </c>
      <c r="N27" s="13" t="str">
        <f>IF(ISBLANK(Master!N27),"",Master!N27)</f>
        <v>SHY</v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>x</v>
      </c>
      <c r="R27" s="13" t="str">
        <f>IF(ISBLANK(Master!R27),"",Master!R27)</f>
        <v>CT</v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>Yeh</v>
      </c>
      <c r="W27" s="13" t="str">
        <f>IF(ISBLANK(Master!X27),"",Master!X27)</f>
        <v>Gallagher</v>
      </c>
      <c r="X27" s="13" t="str">
        <f>IF(ISBLANK(Master!Y27),"",Master!Y27)</f>
        <v>Siow</v>
      </c>
      <c r="Y27" s="13" t="str">
        <f>IF(ISBLANK(Master!Z27),"",Master!Z27)</f>
        <v/>
      </c>
      <c r="Z27" s="13" t="str">
        <f>IF(ISBLANK(Master!AA27),"",Master!AA27)</f>
        <v>Nicholson</v>
      </c>
    </row>
    <row r="28" spans="1:26" x14ac:dyDescent="0.4">
      <c r="A28" s="13" t="str">
        <f>IF(ISBLANK(Master!A28),"",Master!A28)</f>
        <v>Thu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/>
      </c>
      <c r="F28" s="13" t="str">
        <f>IF(ISBLANK(Master!F28),"",Master!F28)</f>
        <v>CHP Sr.</v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>SHY</v>
      </c>
      <c r="M28" s="13" t="str">
        <f>IF(ISBLANK(Master!M28),"",Master!M28)</f>
        <v>x</v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Cyr</v>
      </c>
      <c r="X28" s="13" t="str">
        <f>IF(ISBLANK(Master!Y28),"",Master!Y28)</f>
        <v>Griepentrog</v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4">
      <c r="A29" s="13" t="str">
        <f>IF(ISBLANK(Master!A29),"",Master!A29)</f>
        <v>Fri</v>
      </c>
      <c r="B29" s="13">
        <f>IF(ISBLANK(Master!B29),"",Master!B29)</f>
        <v>28</v>
      </c>
      <c r="C29" s="13" t="str">
        <f>IF(ISBLANK(Master!C29),"",Master!C29)</f>
        <v>x</v>
      </c>
      <c r="D29" s="13" t="str">
        <f>IF(ISBLANK(Master!D29),"",Master!D29)</f>
        <v>Trauma</v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>x</v>
      </c>
      <c r="H29" s="13" t="str">
        <f>IF(ISBLANK(Master!H29),"",Master!H29)</f>
        <v>x</v>
      </c>
      <c r="I29" s="13" t="str">
        <f>IF(ISBLANK(Master!I29),"",Master!I29)</f>
        <v>CHP Sr.</v>
      </c>
      <c r="J29" s="13" t="str">
        <f>IF(ISBLANK(Master!J29),"",Master!J29)</f>
        <v>x</v>
      </c>
      <c r="K29" s="13" t="str">
        <f>IF(ISBLANK(Master!K29),"",Master!K29)</f>
        <v>x</v>
      </c>
      <c r="L29" s="13" t="str">
        <f>IF(ISBLANK(Master!L29),"",Master!L29)</f>
        <v>x</v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>x</v>
      </c>
      <c r="R29" s="13" t="str">
        <f>IF(ISBLANK(Master!R29),"",Master!R29)</f>
        <v/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Van Der Windt</v>
      </c>
      <c r="W29" s="13" t="str">
        <f>IF(ISBLANK(Master!X29),"",Master!X29)</f>
        <v/>
      </c>
      <c r="X29" s="13" t="str">
        <f>IF(ISBLANK(Master!Y29),"",Master!Y29)</f>
        <v>Okolo</v>
      </c>
      <c r="Y29" s="13" t="str">
        <f>IF(ISBLANK(Master!Z29),"",Master!Z29)</f>
        <v/>
      </c>
      <c r="Z29" s="13" t="str">
        <f>IF(ISBLANK(Master!AA29),"",Master!AA29)</f>
        <v>NEEDS COVERAGE</v>
      </c>
    </row>
    <row r="30" spans="1:26" x14ac:dyDescent="0.4">
      <c r="A30" s="13" t="str">
        <f>IF(ISBLANK(Master!A30),"",Master!A30)</f>
        <v>Sat</v>
      </c>
      <c r="B30" s="13">
        <f>IF(ISBLANK(Master!B30),"",Master!B30)</f>
        <v>29</v>
      </c>
      <c r="C30" s="13" t="str">
        <f>IF(ISBLANK(Master!C30),"",Master!C30)</f>
        <v>x</v>
      </c>
      <c r="D30" s="13" t="str">
        <f>IF(ISBLANK(Master!D30),"",Master!D30)</f>
        <v/>
      </c>
      <c r="E30" s="13" t="str">
        <f>IF(ISBLANK(Master!E30),"",Master!E30)</f>
        <v>x</v>
      </c>
      <c r="F30" s="13" t="str">
        <f>IF(ISBLANK(Master!F30),"",Master!F30)</f>
        <v/>
      </c>
      <c r="G30" s="13" t="str">
        <f>IF(ISBLANK(Master!G30),"",Master!G30)</f>
        <v>x</v>
      </c>
      <c r="H30" s="13" t="str">
        <f>IF(ISBLANK(Master!H30),"",Master!H30)</f>
        <v>x</v>
      </c>
      <c r="I30" s="13" t="str">
        <f>IF(ISBLANK(Master!I30),"",Master!I30)</f>
        <v/>
      </c>
      <c r="J30" s="13" t="str">
        <f>IF(ISBLANK(Master!J30),"",Master!J30)</f>
        <v>x</v>
      </c>
      <c r="K30" s="13" t="str">
        <f>IF(ISBLANK(Master!K30),"",Master!K30)</f>
        <v>x</v>
      </c>
      <c r="L30" s="13" t="str">
        <f>IF(ISBLANK(Master!L30),"",Master!L30)</f>
        <v>x</v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>x</v>
      </c>
      <c r="Q30" s="13" t="str">
        <f>IF(ISBLANK(Master!Q30),"",Master!Q30)</f>
        <v/>
      </c>
      <c r="R30" s="13" t="str">
        <f>IF(ISBLANK(Master!R30),"",Master!R30)</f>
        <v>CT</v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Nicholson</v>
      </c>
    </row>
    <row r="31" spans="1:26" x14ac:dyDescent="0.4">
      <c r="A31" s="13" t="str">
        <f>IF(ISBLANK(Master!A31),"",Master!A31)</f>
        <v>Sun</v>
      </c>
      <c r="B31" s="13">
        <f>IF(ISBLANK(Master!B31),"",Master!B31)</f>
        <v>30</v>
      </c>
      <c r="C31" s="13" t="str">
        <f>IF(ISBLANK(Master!C31),"",Master!C31)</f>
        <v>x</v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>x</v>
      </c>
      <c r="H31" s="13" t="str">
        <f>IF(ISBLANK(Master!H31),"",Master!H31)</f>
        <v/>
      </c>
      <c r="I31" s="13" t="str">
        <f>IF(ISBLANK(Master!I31),"",Master!I31)</f>
        <v>x</v>
      </c>
      <c r="J31" s="13" t="str">
        <f>IF(ISBLANK(Master!J31),"",Master!J31)</f>
        <v>x</v>
      </c>
      <c r="K31" s="13" t="str">
        <f>IF(ISBLANK(Master!K31),"",Master!K31)</f>
        <v>CHP Sr.</v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x</v>
      </c>
      <c r="Q31" s="13" t="str">
        <f>IF(ISBLANK(Master!Q31),"",Master!Q31)</f>
        <v>SHY</v>
      </c>
      <c r="R31" s="13" t="str">
        <f>IF(ISBLANK(Master!R31),"",Master!R31)</f>
        <v>x</v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Myers</v>
      </c>
      <c r="X31" s="13" t="str">
        <f>IF(ISBLANK(Master!Y31),"",Master!Y31)</f>
        <v>Tam</v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4">
      <c r="A32" s="13" t="str">
        <f>IF(ISBLANK(Master!A32),"",Master!A32)</f>
        <v>Mon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>x</v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>CHP Sr.</v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>Trauma</v>
      </c>
      <c r="N32" s="13" t="str">
        <f>IF(ISBLANK(Master!N32),"",Master!N32)</f>
        <v/>
      </c>
      <c r="O32" s="13" t="str">
        <f>IF(ISBLANK(Master!O32),"",Master!O32)</f>
        <v>SHY</v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>Dadashzadeh</v>
      </c>
      <c r="W32" s="13" t="str">
        <f>IF(ISBLANK(Master!X32),"",Master!X32)</f>
        <v>Huckaby</v>
      </c>
      <c r="X32" s="13" t="str">
        <f>IF(ISBLANK(Master!Y32),"",Master!Y32)</f>
        <v>Siow</v>
      </c>
      <c r="Y32" s="13" t="str">
        <f>IF(ISBLANK(Master!Z32),"",Master!Z32)</f>
        <v/>
      </c>
      <c r="Z32" s="13" t="str">
        <f>IF(ISBLANK(Master!AA32),"",Master!AA32)</f>
        <v>NEEDS COVERAGE</v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5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4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5</v>
      </c>
      <c r="O34" s="13" t="str">
        <f>IF(ISBLANK(Master!O34),"",Master!O34)</f>
        <v>5</v>
      </c>
      <c r="P34" s="13" t="str">
        <f>IF(ISBLANK(Master!P34),"",Master!P34)</f>
        <v>5</v>
      </c>
      <c r="Q34" s="13" t="str">
        <f>IF(ISBLANK(Master!Q34),"",Master!Q34)</f>
        <v>4</v>
      </c>
      <c r="R34" s="13" t="str">
        <f>IF(ISBLANK(Master!R34),"",Master!R34)</f>
        <v>6</v>
      </c>
      <c r="S34" s="13" t="str">
        <f>IF(ISBLANK(Master!S34),"",Master!S34)</f>
        <v>2-3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3</v>
      </c>
      <c r="D35" s="13">
        <f>IF(ISBLANK(Master!D35),"",Master!D35)</f>
        <v>5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4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5</v>
      </c>
      <c r="O35" s="13">
        <f>IF(ISBLANK(Master!O35),"",Master!O35)</f>
        <v>6</v>
      </c>
      <c r="P35" s="13">
        <f>IF(ISBLANK(Master!P35),"",Master!P35)</f>
        <v>5</v>
      </c>
      <c r="Q35" s="13">
        <f>IF(ISBLANK(Master!Q35),"",Master!Q35)</f>
        <v>4</v>
      </c>
      <c r="R35" s="13">
        <f>IF(ISBLANK(Master!R35),"",Master!R35)</f>
        <v>6</v>
      </c>
      <c r="S35" s="13">
        <f>IF(ISBLANK(Master!S35),"",Master!S35)</f>
        <v>3</v>
      </c>
      <c r="T35" s="13">
        <f>IF(ISBLANK(Master!T35),"",Master!T35)</f>
        <v>0</v>
      </c>
      <c r="V35" s="13" t="str">
        <f>IF(ISBLANK(Master!W35),"",Master!W35)</f>
        <v>Non-CT Req</v>
      </c>
      <c r="W35" s="13" t="e">
        <f>IF(ISBLANK(Master!#REF!),"",Master!#REF!)</f>
        <v>#REF!</v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4s2pESR9FiZjl2ksC17Wx/NRCchMyeT85HzfvKDKr2fl4BBovoT8b+xm/PCV/UC7NCvpSVeH8dOKlck44bc8Hw==" saltValue="b2P9q5yxIVQlihHeSExzL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80" zoomScaleNormal="80" zoomScalePageLayoutView="65" workbookViewId="0">
      <pane xSplit="2" ySplit="1" topLeftCell="I2" activePane="bottomRight" state="frozen"/>
      <selection pane="topRight" activeCell="C1" sqref="C1"/>
      <selection pane="bottomLeft" activeCell="A2" sqref="A2"/>
      <selection pane="bottomRight" activeCell="S4" sqref="S4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3828125" style="3" customWidth="1"/>
    <col min="4" max="4" width="14.53515625" style="3" bestFit="1" customWidth="1"/>
    <col min="5" max="5" width="10" style="3" bestFit="1" customWidth="1"/>
    <col min="6" max="6" width="12.53515625" style="3" customWidth="1"/>
    <col min="7" max="10" width="10" style="3" bestFit="1" customWidth="1"/>
    <col min="11" max="11" width="8.69140625" style="3" bestFit="1" customWidth="1"/>
    <col min="12" max="12" width="10" style="3" bestFit="1" customWidth="1"/>
    <col min="13" max="13" width="11.69140625" style="3" bestFit="1" customWidth="1"/>
    <col min="14" max="14" width="10.53515625" style="3" bestFit="1" customWidth="1"/>
    <col min="15" max="15" width="10.3828125" style="3" bestFit="1" customWidth="1"/>
    <col min="16" max="16" width="8" style="3" bestFit="1" customWidth="1"/>
    <col min="17" max="17" width="10" style="3" bestFit="1" customWidth="1"/>
    <col min="18" max="18" width="10.69140625" style="3" bestFit="1" customWidth="1"/>
    <col min="19" max="19" width="10.69140625" style="5" customWidth="1"/>
    <col min="20" max="20" width="10.15234375" style="3" bestFit="1" customWidth="1"/>
    <col min="21" max="21" width="10" style="3" bestFit="1" customWidth="1"/>
    <col min="22" max="22" width="30.4609375" style="3" customWidth="1"/>
    <col min="23" max="27" width="16.84375" style="10" bestFit="1" customWidth="1"/>
    <col min="28" max="28" width="36.23046875" style="10" customWidth="1"/>
    <col min="29" max="33" width="7.84375" style="3" customWidth="1"/>
    <col min="34" max="34" width="8.84375" style="3"/>
    <col min="35" max="35" width="19.3828125" style="3" customWidth="1"/>
    <col min="36" max="36" width="29.69140625" style="3" customWidth="1"/>
    <col min="37" max="37" width="19.3828125" style="3" customWidth="1"/>
    <col min="38" max="16384" width="8.84375" style="3"/>
  </cols>
  <sheetData>
    <row r="1" spans="1:37" x14ac:dyDescent="0.4">
      <c r="A1" s="14" t="s">
        <v>0</v>
      </c>
      <c r="B1" s="27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2" t="s">
        <v>38</v>
      </c>
      <c r="T1" s="18" t="s">
        <v>45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4">
      <c r="A2" s="1" t="s">
        <v>6</v>
      </c>
      <c r="B2" s="9">
        <v>1</v>
      </c>
      <c r="C2" s="1"/>
      <c r="D2" s="1"/>
      <c r="E2" s="1" t="s">
        <v>40</v>
      </c>
      <c r="F2" s="1" t="s">
        <v>40</v>
      </c>
      <c r="G2" s="1">
        <v>0</v>
      </c>
      <c r="H2" s="1">
        <v>1</v>
      </c>
      <c r="I2" s="1" t="s">
        <v>40</v>
      </c>
      <c r="J2" s="1" t="s">
        <v>40</v>
      </c>
      <c r="K2" s="1" t="s">
        <v>40</v>
      </c>
      <c r="L2" s="1"/>
      <c r="M2" s="1"/>
      <c r="N2" s="1" t="s">
        <v>40</v>
      </c>
      <c r="O2" s="1"/>
      <c r="P2" s="1" t="s">
        <v>40</v>
      </c>
      <c r="Q2" s="1"/>
      <c r="R2" s="1"/>
      <c r="S2" s="2"/>
      <c r="T2" s="1" t="s">
        <v>40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/>
      <c r="AC2" s="1"/>
      <c r="AD2" s="1"/>
      <c r="AE2" s="1"/>
      <c r="AF2" s="1"/>
      <c r="AG2" s="1" t="s">
        <v>40</v>
      </c>
      <c r="AI2" s="22"/>
      <c r="AJ2" s="23"/>
      <c r="AK2" s="24"/>
    </row>
    <row r="3" spans="1:37" x14ac:dyDescent="0.4">
      <c r="A3" s="1" t="s">
        <v>7</v>
      </c>
      <c r="B3" s="9">
        <v>2</v>
      </c>
      <c r="C3" s="1"/>
      <c r="D3" s="1"/>
      <c r="E3" s="1" t="s">
        <v>40</v>
      </c>
      <c r="F3" s="1" t="s">
        <v>40</v>
      </c>
      <c r="G3" s="1" t="s">
        <v>23</v>
      </c>
      <c r="H3" s="1"/>
      <c r="I3" s="1" t="s">
        <v>40</v>
      </c>
      <c r="J3" s="1" t="s">
        <v>40</v>
      </c>
      <c r="K3" s="1" t="s">
        <v>40</v>
      </c>
      <c r="L3" s="1"/>
      <c r="M3" s="1"/>
      <c r="N3" s="1" t="s">
        <v>40</v>
      </c>
      <c r="O3" s="1"/>
      <c r="P3" s="1" t="s">
        <v>40</v>
      </c>
      <c r="Q3" s="1"/>
      <c r="R3" s="1" t="s">
        <v>3</v>
      </c>
      <c r="S3" s="2"/>
      <c r="T3" s="1" t="s">
        <v>40</v>
      </c>
      <c r="W3" s="1" t="str">
        <f t="shared" si="0"/>
        <v/>
      </c>
      <c r="X3" s="1" t="str">
        <f t="shared" si="1"/>
        <v>Handzel</v>
      </c>
      <c r="Y3" s="1" t="str">
        <f t="shared" si="2"/>
        <v/>
      </c>
      <c r="Z3" s="1" t="str">
        <f t="shared" si="3"/>
        <v/>
      </c>
      <c r="AA3" s="1" t="str">
        <f t="shared" si="4"/>
        <v>Nicholson</v>
      </c>
      <c r="AB3" s="1" t="s">
        <v>60</v>
      </c>
      <c r="AC3" s="1"/>
      <c r="AD3" s="1" t="s">
        <v>40</v>
      </c>
      <c r="AE3" s="1"/>
      <c r="AF3" s="1"/>
      <c r="AG3" s="1" t="s">
        <v>40</v>
      </c>
      <c r="AI3" s="22"/>
      <c r="AJ3" s="25"/>
      <c r="AK3" s="24"/>
    </row>
    <row r="4" spans="1:37" s="5" customFormat="1" x14ac:dyDescent="0.4">
      <c r="A4" s="2" t="s">
        <v>8</v>
      </c>
      <c r="B4" s="17">
        <v>3</v>
      </c>
      <c r="C4" s="2" t="s">
        <v>2</v>
      </c>
      <c r="D4" s="2"/>
      <c r="E4" s="2" t="s">
        <v>40</v>
      </c>
      <c r="F4" s="2" t="s">
        <v>40</v>
      </c>
      <c r="G4" s="2"/>
      <c r="H4" s="2" t="s">
        <v>22</v>
      </c>
      <c r="I4" s="2" t="s">
        <v>40</v>
      </c>
      <c r="J4" s="2" t="s">
        <v>40</v>
      </c>
      <c r="K4" s="2" t="s">
        <v>40</v>
      </c>
      <c r="L4" s="2" t="s">
        <v>23</v>
      </c>
      <c r="M4" s="2"/>
      <c r="N4" s="2" t="s">
        <v>40</v>
      </c>
      <c r="O4" s="2"/>
      <c r="P4" s="2" t="s">
        <v>40</v>
      </c>
      <c r="Q4" s="2"/>
      <c r="R4" s="2"/>
      <c r="S4" s="2"/>
      <c r="T4" s="2" t="s">
        <v>40</v>
      </c>
      <c r="W4" s="2" t="str">
        <f t="shared" si="0"/>
        <v>Dyer</v>
      </c>
      <c r="X4" s="2" t="str">
        <f t="shared" si="1"/>
        <v>Cyr</v>
      </c>
      <c r="Y4" s="2" t="str">
        <f t="shared" si="2"/>
        <v>Hill (Kirk)</v>
      </c>
      <c r="Z4" s="2" t="str">
        <f t="shared" si="3"/>
        <v/>
      </c>
      <c r="AA4" s="2" t="str">
        <f t="shared" si="4"/>
        <v>NEEDS COVERAGE</v>
      </c>
      <c r="AB4" s="2" t="s">
        <v>61</v>
      </c>
      <c r="AC4" s="2" t="s">
        <v>40</v>
      </c>
      <c r="AD4" s="2" t="s">
        <v>40</v>
      </c>
      <c r="AE4" s="2" t="s">
        <v>40</v>
      </c>
      <c r="AF4" s="2"/>
      <c r="AG4" s="2" t="s">
        <v>40</v>
      </c>
      <c r="AI4" s="29"/>
      <c r="AJ4" s="32"/>
      <c r="AK4" s="30"/>
    </row>
    <row r="5" spans="1:37" x14ac:dyDescent="0.4">
      <c r="A5" s="1" t="s">
        <v>9</v>
      </c>
      <c r="B5" s="9">
        <v>4</v>
      </c>
      <c r="C5" s="1"/>
      <c r="D5" s="1" t="s">
        <v>40</v>
      </c>
      <c r="E5" s="1" t="s">
        <v>40</v>
      </c>
      <c r="F5" s="1" t="s">
        <v>40</v>
      </c>
      <c r="G5" s="1" t="s">
        <v>40</v>
      </c>
      <c r="H5" s="1"/>
      <c r="I5" s="1" t="s">
        <v>40</v>
      </c>
      <c r="J5" s="1" t="s">
        <v>40</v>
      </c>
      <c r="K5" s="1" t="s">
        <v>40</v>
      </c>
      <c r="L5" s="1" t="s">
        <v>40</v>
      </c>
      <c r="M5" s="1" t="s">
        <v>2</v>
      </c>
      <c r="N5" s="1"/>
      <c r="O5" s="1" t="s">
        <v>23</v>
      </c>
      <c r="P5" s="1" t="s">
        <v>40</v>
      </c>
      <c r="Q5" s="1" t="s">
        <v>3</v>
      </c>
      <c r="R5" s="1"/>
      <c r="S5" s="2"/>
      <c r="T5" s="1" t="s">
        <v>40</v>
      </c>
      <c r="W5" s="1" t="str">
        <f t="shared" si="0"/>
        <v>Dadashzadeh</v>
      </c>
      <c r="X5" s="1" t="str">
        <f t="shared" si="1"/>
        <v>Huckaby</v>
      </c>
      <c r="Y5" s="1" t="str">
        <f t="shared" si="2"/>
        <v/>
      </c>
      <c r="Z5" s="1" t="str">
        <f t="shared" si="3"/>
        <v/>
      </c>
      <c r="AA5" s="1" t="str">
        <f t="shared" si="4"/>
        <v>Myers</v>
      </c>
      <c r="AB5" s="1" t="s">
        <v>62</v>
      </c>
      <c r="AC5" s="1" t="s">
        <v>40</v>
      </c>
      <c r="AD5" s="1" t="s">
        <v>40</v>
      </c>
      <c r="AE5" s="1"/>
      <c r="AF5" s="1"/>
      <c r="AG5" s="1" t="s">
        <v>40</v>
      </c>
      <c r="AI5" s="22"/>
      <c r="AJ5" s="26"/>
      <c r="AK5" s="24"/>
    </row>
    <row r="6" spans="1:37" x14ac:dyDescent="0.4">
      <c r="A6" s="1" t="s">
        <v>4</v>
      </c>
      <c r="B6" s="9">
        <v>5</v>
      </c>
      <c r="C6" s="1"/>
      <c r="D6" s="1" t="s">
        <v>2</v>
      </c>
      <c r="E6" s="1"/>
      <c r="F6" s="1"/>
      <c r="G6" s="1" t="s">
        <v>3</v>
      </c>
      <c r="H6" s="1"/>
      <c r="I6" s="1" t="s">
        <v>40</v>
      </c>
      <c r="J6" s="1" t="s">
        <v>23</v>
      </c>
      <c r="K6" s="1" t="s">
        <v>40</v>
      </c>
      <c r="L6" s="1"/>
      <c r="M6" s="1"/>
      <c r="N6" s="1"/>
      <c r="O6" s="1"/>
      <c r="P6" s="1"/>
      <c r="Q6" s="1"/>
      <c r="R6" s="1"/>
      <c r="S6" s="2"/>
      <c r="T6" s="1" t="s">
        <v>40</v>
      </c>
      <c r="W6" s="1" t="str">
        <f t="shared" si="0"/>
        <v>Van Der Windt</v>
      </c>
      <c r="X6" s="1" t="str">
        <f t="shared" si="1"/>
        <v>Siow</v>
      </c>
      <c r="Y6" s="1" t="str">
        <f t="shared" si="2"/>
        <v/>
      </c>
      <c r="Z6" s="1" t="str">
        <f t="shared" si="3"/>
        <v/>
      </c>
      <c r="AA6" s="1" t="str">
        <f t="shared" si="4"/>
        <v>Handzel</v>
      </c>
      <c r="AB6" s="1" t="s">
        <v>63</v>
      </c>
      <c r="AC6" s="1" t="s">
        <v>40</v>
      </c>
      <c r="AD6" s="1" t="s">
        <v>40</v>
      </c>
      <c r="AE6" s="1"/>
      <c r="AF6" s="1"/>
      <c r="AG6" s="1" t="s">
        <v>40</v>
      </c>
      <c r="AI6" s="22"/>
      <c r="AJ6" s="23"/>
      <c r="AK6" s="24"/>
    </row>
    <row r="7" spans="1:37" x14ac:dyDescent="0.4">
      <c r="A7" s="1" t="s">
        <v>10</v>
      </c>
      <c r="B7" s="9">
        <v>6</v>
      </c>
      <c r="C7" s="1"/>
      <c r="D7" s="1"/>
      <c r="E7" s="1"/>
      <c r="F7" s="1"/>
      <c r="G7" s="1"/>
      <c r="H7" s="1"/>
      <c r="I7" s="1" t="s">
        <v>23</v>
      </c>
      <c r="J7" s="1"/>
      <c r="K7" s="1" t="s">
        <v>40</v>
      </c>
      <c r="L7" s="1"/>
      <c r="M7" s="1"/>
      <c r="N7" s="1"/>
      <c r="O7" s="1"/>
      <c r="P7" s="1" t="s">
        <v>3</v>
      </c>
      <c r="Q7" s="1"/>
      <c r="R7" s="1"/>
      <c r="S7" s="2"/>
      <c r="T7" s="1" t="s">
        <v>40</v>
      </c>
      <c r="W7" s="1" t="str">
        <f t="shared" si="0"/>
        <v/>
      </c>
      <c r="X7" s="1" t="str">
        <f t="shared" si="1"/>
        <v>Okolo</v>
      </c>
      <c r="Y7" s="1" t="str">
        <f t="shared" si="2"/>
        <v/>
      </c>
      <c r="Z7" s="1" t="str">
        <f t="shared" si="3"/>
        <v>NEEDS COVERAGE</v>
      </c>
      <c r="AA7" s="1" t="str">
        <f t="shared" si="4"/>
        <v>Kulkarni</v>
      </c>
      <c r="AB7" s="1" t="s">
        <v>64</v>
      </c>
      <c r="AC7" s="1"/>
      <c r="AD7" s="1" t="s">
        <v>40</v>
      </c>
      <c r="AE7" s="1"/>
      <c r="AF7" s="1" t="s">
        <v>40</v>
      </c>
      <c r="AG7" s="1" t="s">
        <v>40</v>
      </c>
      <c r="AI7" s="22"/>
      <c r="AJ7" s="25"/>
      <c r="AK7" s="24"/>
    </row>
    <row r="8" spans="1:37" x14ac:dyDescent="0.4">
      <c r="A8" s="1" t="s">
        <v>5</v>
      </c>
      <c r="B8" s="9">
        <v>7</v>
      </c>
      <c r="C8" s="1" t="s">
        <v>2</v>
      </c>
      <c r="D8" s="1"/>
      <c r="E8" s="1"/>
      <c r="F8" s="1" t="s">
        <v>40</v>
      </c>
      <c r="G8" s="1" t="s">
        <v>40</v>
      </c>
      <c r="H8" s="1"/>
      <c r="I8" s="1"/>
      <c r="J8" s="1"/>
      <c r="K8" s="1" t="s">
        <v>40</v>
      </c>
      <c r="L8" s="1"/>
      <c r="M8" s="1"/>
      <c r="N8" s="1"/>
      <c r="O8" s="1" t="s">
        <v>21</v>
      </c>
      <c r="P8" s="1"/>
      <c r="Q8" s="1"/>
      <c r="R8" s="1"/>
      <c r="S8" s="2"/>
      <c r="T8" s="1" t="s">
        <v>40</v>
      </c>
      <c r="W8" s="1" t="str">
        <f t="shared" si="0"/>
        <v>Dyer</v>
      </c>
      <c r="X8" s="1" t="str">
        <f t="shared" si="1"/>
        <v/>
      </c>
      <c r="Y8" s="1" t="str">
        <f t="shared" si="2"/>
        <v/>
      </c>
      <c r="Z8" s="1" t="str">
        <f t="shared" si="3"/>
        <v>Huckaby</v>
      </c>
      <c r="AA8" s="1" t="str">
        <f t="shared" si="4"/>
        <v>NEEDS COVERAGE</v>
      </c>
      <c r="AB8" s="1"/>
      <c r="AC8" s="1" t="s">
        <v>40</v>
      </c>
      <c r="AD8" s="1"/>
      <c r="AE8" s="1"/>
      <c r="AF8" s="1" t="s">
        <v>40</v>
      </c>
      <c r="AG8" s="1" t="s">
        <v>40</v>
      </c>
      <c r="AI8" s="22"/>
      <c r="AJ8" s="26"/>
      <c r="AK8" s="24"/>
    </row>
    <row r="9" spans="1:37" x14ac:dyDescent="0.4">
      <c r="A9" s="1" t="s">
        <v>6</v>
      </c>
      <c r="B9" s="9">
        <v>8</v>
      </c>
      <c r="C9" s="1"/>
      <c r="D9" s="1"/>
      <c r="E9" s="1" t="s">
        <v>2</v>
      </c>
      <c r="F9" s="1" t="s">
        <v>40</v>
      </c>
      <c r="G9" s="1" t="s">
        <v>40</v>
      </c>
      <c r="H9" s="1"/>
      <c r="I9" s="1" t="s">
        <v>40</v>
      </c>
      <c r="J9" s="1"/>
      <c r="K9" s="1" t="s">
        <v>40</v>
      </c>
      <c r="L9" s="1" t="s">
        <v>40</v>
      </c>
      <c r="M9" s="1"/>
      <c r="N9" s="1"/>
      <c r="O9" s="1"/>
      <c r="P9" s="1"/>
      <c r="Q9" s="1"/>
      <c r="R9" s="1"/>
      <c r="S9" s="2"/>
      <c r="T9" s="1" t="s">
        <v>40</v>
      </c>
      <c r="W9" s="1" t="str">
        <f t="shared" si="0"/>
        <v>Yeh</v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/>
      <c r="AC9" s="1" t="s">
        <v>40</v>
      </c>
      <c r="AD9" s="1"/>
      <c r="AE9" s="1"/>
      <c r="AF9" s="1"/>
      <c r="AG9" s="1" t="s">
        <v>40</v>
      </c>
      <c r="AI9" s="22"/>
      <c r="AJ9" s="26"/>
      <c r="AK9" s="24"/>
    </row>
    <row r="10" spans="1:37" x14ac:dyDescent="0.4">
      <c r="A10" s="1" t="s">
        <v>7</v>
      </c>
      <c r="B10" s="9">
        <v>9</v>
      </c>
      <c r="C10" s="1"/>
      <c r="D10" s="1" t="s">
        <v>22</v>
      </c>
      <c r="E10" s="1"/>
      <c r="F10" s="1" t="s">
        <v>40</v>
      </c>
      <c r="G10" s="1" t="s">
        <v>40</v>
      </c>
      <c r="H10" s="1"/>
      <c r="I10" s="1"/>
      <c r="J10" s="1"/>
      <c r="K10" s="1" t="s">
        <v>23</v>
      </c>
      <c r="L10" s="1"/>
      <c r="M10" s="1"/>
      <c r="N10" s="1" t="s">
        <v>3</v>
      </c>
      <c r="O10" s="1"/>
      <c r="P10" s="1"/>
      <c r="Q10" s="1"/>
      <c r="R10" s="1"/>
      <c r="S10" s="2"/>
      <c r="T10" s="1" t="s">
        <v>40</v>
      </c>
      <c r="W10" s="1" t="str">
        <f t="shared" si="0"/>
        <v/>
      </c>
      <c r="X10" s="1" t="str">
        <f t="shared" si="1"/>
        <v>Tam</v>
      </c>
      <c r="Y10" s="1" t="str">
        <f t="shared" si="2"/>
        <v>Van Der Windt</v>
      </c>
      <c r="Z10" s="1" t="str">
        <f t="shared" si="3"/>
        <v/>
      </c>
      <c r="AA10" s="1" t="str">
        <f t="shared" si="4"/>
        <v>Gallagher</v>
      </c>
      <c r="AB10" s="1" t="s">
        <v>66</v>
      </c>
      <c r="AC10" s="1"/>
      <c r="AD10" s="1" t="s">
        <v>40</v>
      </c>
      <c r="AE10" s="1" t="s">
        <v>40</v>
      </c>
      <c r="AF10" s="1"/>
      <c r="AG10" s="1" t="s">
        <v>40</v>
      </c>
      <c r="AI10" s="22"/>
      <c r="AJ10" s="26"/>
      <c r="AK10" s="24"/>
    </row>
    <row r="11" spans="1:37" x14ac:dyDescent="0.4">
      <c r="A11" s="1" t="s">
        <v>8</v>
      </c>
      <c r="B11" s="9">
        <v>10</v>
      </c>
      <c r="C11" s="1"/>
      <c r="D11" s="1"/>
      <c r="E11" s="1"/>
      <c r="F11" s="1"/>
      <c r="G11" s="1" t="s">
        <v>40</v>
      </c>
      <c r="H11" s="1" t="s">
        <v>23</v>
      </c>
      <c r="I11" s="1" t="s">
        <v>3</v>
      </c>
      <c r="J11" s="1"/>
      <c r="K11" s="1"/>
      <c r="L11" s="1"/>
      <c r="M11" s="1"/>
      <c r="N11" s="1"/>
      <c r="O11" s="1"/>
      <c r="P11" s="1"/>
      <c r="Q11" s="1"/>
      <c r="R11" s="1" t="s">
        <v>2</v>
      </c>
      <c r="S11" s="2"/>
      <c r="T11" s="1" t="s">
        <v>40</v>
      </c>
      <c r="W11" s="1" t="str">
        <f t="shared" si="0"/>
        <v>Nicholson</v>
      </c>
      <c r="X11" s="1" t="str">
        <f t="shared" si="1"/>
        <v>Hill (Kirk)</v>
      </c>
      <c r="Y11" s="1" t="str">
        <f t="shared" si="2"/>
        <v/>
      </c>
      <c r="Z11" s="1" t="str">
        <f t="shared" si="3"/>
        <v>NEEDS COVERAGE</v>
      </c>
      <c r="AA11" s="1" t="str">
        <f t="shared" si="4"/>
        <v>Okolo</v>
      </c>
      <c r="AB11" s="1" t="s">
        <v>67</v>
      </c>
      <c r="AC11" s="1" t="s">
        <v>40</v>
      </c>
      <c r="AD11" s="1" t="s">
        <v>40</v>
      </c>
      <c r="AE11" s="1"/>
      <c r="AF11" s="1" t="s">
        <v>40</v>
      </c>
      <c r="AG11" s="1" t="s">
        <v>40</v>
      </c>
      <c r="AI11" s="22"/>
      <c r="AJ11" s="25"/>
      <c r="AK11" s="24"/>
    </row>
    <row r="12" spans="1:37" x14ac:dyDescent="0.4">
      <c r="A12" s="1" t="s">
        <v>9</v>
      </c>
      <c r="B12" s="9">
        <v>11</v>
      </c>
      <c r="C12" s="1"/>
      <c r="D12" s="1" t="s">
        <v>40</v>
      </c>
      <c r="E12" s="1"/>
      <c r="F12" s="1"/>
      <c r="G12" s="1" t="s">
        <v>2</v>
      </c>
      <c r="H12" s="1"/>
      <c r="I12" s="1" t="s">
        <v>40</v>
      </c>
      <c r="J12" s="1" t="s">
        <v>3</v>
      </c>
      <c r="K12" s="1"/>
      <c r="L12" s="1" t="s">
        <v>40</v>
      </c>
      <c r="M12" s="1" t="s">
        <v>23</v>
      </c>
      <c r="N12" s="1"/>
      <c r="O12" s="1"/>
      <c r="P12" s="1"/>
      <c r="Q12" s="1"/>
      <c r="R12" s="1"/>
      <c r="S12" s="2"/>
      <c r="T12" s="1" t="s">
        <v>40</v>
      </c>
      <c r="W12" s="1" t="str">
        <f t="shared" si="0"/>
        <v>Handzel</v>
      </c>
      <c r="X12" s="1" t="str">
        <f t="shared" si="1"/>
        <v>Dadashzadeh</v>
      </c>
      <c r="Y12" s="1" t="str">
        <f t="shared" si="2"/>
        <v/>
      </c>
      <c r="Z12" s="1" t="str">
        <f t="shared" si="3"/>
        <v/>
      </c>
      <c r="AA12" s="1" t="str">
        <f t="shared" si="4"/>
        <v>Siow</v>
      </c>
      <c r="AB12" s="1" t="s">
        <v>68</v>
      </c>
      <c r="AC12" s="1" t="s">
        <v>40</v>
      </c>
      <c r="AD12" s="1" t="s">
        <v>40</v>
      </c>
      <c r="AE12" s="1"/>
      <c r="AF12" s="1"/>
      <c r="AG12" s="1" t="s">
        <v>40</v>
      </c>
      <c r="AI12" s="22"/>
      <c r="AJ12" s="26"/>
      <c r="AK12" s="24"/>
    </row>
    <row r="13" spans="1:37" x14ac:dyDescent="0.4">
      <c r="A13" s="1" t="s">
        <v>4</v>
      </c>
      <c r="B13" s="9">
        <v>12</v>
      </c>
      <c r="C13" s="1"/>
      <c r="D13" s="1"/>
      <c r="E13" s="1" t="s">
        <v>22</v>
      </c>
      <c r="F13" s="1"/>
      <c r="G13" s="1" t="s">
        <v>40</v>
      </c>
      <c r="H13" s="1"/>
      <c r="I13" s="1" t="s">
        <v>40</v>
      </c>
      <c r="J13" s="1"/>
      <c r="K13" s="1" t="s">
        <v>40</v>
      </c>
      <c r="L13" s="1"/>
      <c r="M13" s="1"/>
      <c r="N13" s="1"/>
      <c r="O13" s="1"/>
      <c r="P13" s="1" t="s">
        <v>23</v>
      </c>
      <c r="Q13" s="1"/>
      <c r="R13" s="1"/>
      <c r="S13" s="2" t="s">
        <v>3</v>
      </c>
      <c r="T13" s="1" t="s">
        <v>40</v>
      </c>
      <c r="W13" s="1" t="str">
        <f t="shared" si="0"/>
        <v/>
      </c>
      <c r="X13" s="1" t="str">
        <f t="shared" si="1"/>
        <v>Kulkarni</v>
      </c>
      <c r="Y13" s="1" t="str">
        <f t="shared" si="2"/>
        <v>Yeh</v>
      </c>
      <c r="Z13" s="1" t="str">
        <f t="shared" si="3"/>
        <v/>
      </c>
      <c r="AA13" s="1" t="str">
        <f t="shared" si="4"/>
        <v>Yecies</v>
      </c>
      <c r="AB13" s="1" t="s">
        <v>61</v>
      </c>
      <c r="AC13" s="1"/>
      <c r="AD13" s="1" t="s">
        <v>40</v>
      </c>
      <c r="AE13" s="1" t="s">
        <v>40</v>
      </c>
      <c r="AF13" s="1"/>
      <c r="AG13" s="1" t="s">
        <v>40</v>
      </c>
      <c r="AI13" s="22"/>
      <c r="AJ13" s="26"/>
      <c r="AK13" s="24"/>
    </row>
    <row r="14" spans="1:37" x14ac:dyDescent="0.4">
      <c r="A14" s="1" t="s">
        <v>10</v>
      </c>
      <c r="B14" s="9">
        <v>13</v>
      </c>
      <c r="C14" s="1"/>
      <c r="D14" s="1"/>
      <c r="E14" s="1"/>
      <c r="F14" s="1"/>
      <c r="G14" s="1"/>
      <c r="H14" s="1"/>
      <c r="I14" s="1" t="s">
        <v>40</v>
      </c>
      <c r="J14" s="1"/>
      <c r="K14" s="1" t="s">
        <v>21</v>
      </c>
      <c r="L14" s="1" t="s">
        <v>3</v>
      </c>
      <c r="M14" s="1"/>
      <c r="N14" s="1"/>
      <c r="O14" s="1"/>
      <c r="P14" s="1"/>
      <c r="Q14" s="1"/>
      <c r="R14" s="1" t="s">
        <v>23</v>
      </c>
      <c r="S14" s="2"/>
      <c r="T14" s="1" t="s">
        <v>40</v>
      </c>
      <c r="W14" s="1" t="str">
        <f t="shared" si="0"/>
        <v/>
      </c>
      <c r="X14" s="1" t="str">
        <f t="shared" si="1"/>
        <v>Nicholson</v>
      </c>
      <c r="Y14" s="1" t="str">
        <f t="shared" si="2"/>
        <v/>
      </c>
      <c r="Z14" s="1" t="str">
        <f t="shared" si="3"/>
        <v>Tam</v>
      </c>
      <c r="AA14" s="1" t="str">
        <f t="shared" si="4"/>
        <v>Cyr</v>
      </c>
      <c r="AB14" s="1" t="s">
        <v>69</v>
      </c>
      <c r="AC14" s="1"/>
      <c r="AD14" s="1" t="s">
        <v>40</v>
      </c>
      <c r="AE14" s="1"/>
      <c r="AF14" s="1" t="s">
        <v>40</v>
      </c>
      <c r="AG14" s="1" t="s">
        <v>40</v>
      </c>
      <c r="AI14" s="26"/>
      <c r="AJ14" s="23"/>
      <c r="AK14" s="24"/>
    </row>
    <row r="15" spans="1:37" x14ac:dyDescent="0.4">
      <c r="A15" s="1" t="s">
        <v>5</v>
      </c>
      <c r="B15" s="9">
        <v>14</v>
      </c>
      <c r="C15" s="1"/>
      <c r="D15" s="1"/>
      <c r="E15" s="1" t="s">
        <v>40</v>
      </c>
      <c r="F15" s="1"/>
      <c r="G15" s="1"/>
      <c r="H15" s="1"/>
      <c r="I15" s="1"/>
      <c r="J15" s="1"/>
      <c r="K15" s="1"/>
      <c r="L15" s="1"/>
      <c r="M15" s="1"/>
      <c r="N15" s="1" t="s">
        <v>2</v>
      </c>
      <c r="O15" s="1"/>
      <c r="P15" s="1"/>
      <c r="Q15" s="1"/>
      <c r="R15" s="1"/>
      <c r="S15" s="2"/>
      <c r="T15" s="1" t="s">
        <v>40</v>
      </c>
      <c r="W15" s="1" t="str">
        <f t="shared" si="0"/>
        <v>Gallagher</v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/>
      <c r="AC15" s="1" t="s">
        <v>40</v>
      </c>
      <c r="AD15" s="1"/>
      <c r="AE15" s="1"/>
      <c r="AF15" s="1"/>
      <c r="AG15" s="1" t="s">
        <v>40</v>
      </c>
      <c r="AI15" s="22"/>
      <c r="AJ15" s="26"/>
      <c r="AK15" s="24"/>
    </row>
    <row r="16" spans="1:37" x14ac:dyDescent="0.4">
      <c r="A16" s="1" t="s">
        <v>6</v>
      </c>
      <c r="B16" s="9">
        <v>15</v>
      </c>
      <c r="C16" s="1"/>
      <c r="D16" s="1"/>
      <c r="E16" s="1" t="s">
        <v>40</v>
      </c>
      <c r="F16" s="1" t="s">
        <v>2</v>
      </c>
      <c r="G16" s="1"/>
      <c r="H16" s="1"/>
      <c r="I16" s="1"/>
      <c r="J16" s="1"/>
      <c r="K16" s="1" t="s">
        <v>40</v>
      </c>
      <c r="L16" s="1"/>
      <c r="M16" s="1"/>
      <c r="N16" s="1"/>
      <c r="O16" s="1"/>
      <c r="P16" s="1"/>
      <c r="Q16" s="1"/>
      <c r="R16" s="1"/>
      <c r="S16" s="2"/>
      <c r="T16" s="1" t="s">
        <v>40</v>
      </c>
      <c r="W16" s="1" t="str">
        <f t="shared" si="0"/>
        <v>Griepentrog</v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/>
      <c r="AC16" s="1" t="s">
        <v>40</v>
      </c>
      <c r="AD16" s="1"/>
      <c r="AE16" s="1"/>
      <c r="AF16" s="1"/>
      <c r="AG16" s="1" t="s">
        <v>40</v>
      </c>
      <c r="AI16" s="22"/>
      <c r="AJ16" s="25"/>
      <c r="AK16" s="24"/>
    </row>
    <row r="17" spans="1:37" x14ac:dyDescent="0.4">
      <c r="A17" s="1" t="s">
        <v>7</v>
      </c>
      <c r="B17" s="9">
        <v>16</v>
      </c>
      <c r="C17" s="1"/>
      <c r="D17" s="1"/>
      <c r="E17" s="1" t="s">
        <v>40</v>
      </c>
      <c r="F17" s="1"/>
      <c r="G17" s="1" t="s">
        <v>40</v>
      </c>
      <c r="H17" s="1"/>
      <c r="I17" s="1" t="s">
        <v>40</v>
      </c>
      <c r="J17" s="1"/>
      <c r="K17" s="1" t="s">
        <v>22</v>
      </c>
      <c r="L17" s="1"/>
      <c r="M17" s="1"/>
      <c r="N17" s="1"/>
      <c r="O17" s="1" t="s">
        <v>23</v>
      </c>
      <c r="P17" s="1"/>
      <c r="Q17" s="1"/>
      <c r="R17" s="1"/>
      <c r="S17" s="2"/>
      <c r="T17" s="1" t="s">
        <v>40</v>
      </c>
      <c r="W17" s="1" t="str">
        <f t="shared" si="0"/>
        <v/>
      </c>
      <c r="X17" s="1" t="str">
        <f t="shared" si="1"/>
        <v>Huckaby</v>
      </c>
      <c r="Y17" s="1" t="str">
        <f t="shared" si="2"/>
        <v>Tam</v>
      </c>
      <c r="Z17" s="1" t="str">
        <f t="shared" si="3"/>
        <v/>
      </c>
      <c r="AA17" s="1" t="str">
        <f t="shared" si="4"/>
        <v>NEEDS COVERAGE</v>
      </c>
      <c r="AB17" s="1"/>
      <c r="AC17" s="1"/>
      <c r="AD17" s="1" t="s">
        <v>40</v>
      </c>
      <c r="AE17" s="1" t="s">
        <v>40</v>
      </c>
      <c r="AF17" s="1"/>
      <c r="AG17" s="1" t="s">
        <v>40</v>
      </c>
      <c r="AI17" s="22"/>
      <c r="AJ17" s="23"/>
      <c r="AK17" s="24"/>
    </row>
    <row r="18" spans="1:37" x14ac:dyDescent="0.4">
      <c r="A18" s="1" t="s">
        <v>8</v>
      </c>
      <c r="B18" s="9">
        <v>17</v>
      </c>
      <c r="C18" s="1"/>
      <c r="D18" s="1" t="s">
        <v>22</v>
      </c>
      <c r="E18" s="1" t="s">
        <v>40</v>
      </c>
      <c r="F18" s="1"/>
      <c r="G18" s="1"/>
      <c r="H18" s="1"/>
      <c r="I18" s="1" t="s">
        <v>2</v>
      </c>
      <c r="J18" s="1"/>
      <c r="K18" s="1"/>
      <c r="L18" s="1"/>
      <c r="M18" s="1"/>
      <c r="N18" s="1"/>
      <c r="O18" s="1"/>
      <c r="P18" s="1" t="s">
        <v>3</v>
      </c>
      <c r="Q18" s="1"/>
      <c r="R18" s="1" t="s">
        <v>23</v>
      </c>
      <c r="S18" s="2"/>
      <c r="T18" s="1" t="s">
        <v>40</v>
      </c>
      <c r="W18" s="1" t="str">
        <f t="shared" si="0"/>
        <v>Okolo</v>
      </c>
      <c r="X18" s="1" t="str">
        <f t="shared" si="1"/>
        <v>Nicholson</v>
      </c>
      <c r="Y18" s="1" t="str">
        <f t="shared" si="2"/>
        <v>Van Der Windt</v>
      </c>
      <c r="Z18" s="1" t="str">
        <f t="shared" si="3"/>
        <v/>
      </c>
      <c r="AA18" s="1" t="str">
        <f t="shared" si="4"/>
        <v>Kulkarni</v>
      </c>
      <c r="AB18" s="1" t="s">
        <v>70</v>
      </c>
      <c r="AC18" s="1" t="s">
        <v>40</v>
      </c>
      <c r="AD18" s="1" t="s">
        <v>40</v>
      </c>
      <c r="AE18" s="1" t="s">
        <v>40</v>
      </c>
      <c r="AF18" s="1"/>
      <c r="AG18" s="1" t="s">
        <v>40</v>
      </c>
      <c r="AI18" s="22"/>
      <c r="AJ18" s="26"/>
      <c r="AK18" s="24"/>
    </row>
    <row r="19" spans="1:37" x14ac:dyDescent="0.4">
      <c r="A19" s="1" t="s">
        <v>9</v>
      </c>
      <c r="B19" s="9">
        <v>18</v>
      </c>
      <c r="C19" s="1"/>
      <c r="D19" s="1" t="s">
        <v>40</v>
      </c>
      <c r="E19" s="1"/>
      <c r="F19" s="1"/>
      <c r="G19" s="1" t="s">
        <v>22</v>
      </c>
      <c r="H19" s="1"/>
      <c r="I19" s="1"/>
      <c r="J19" s="1"/>
      <c r="K19" s="1"/>
      <c r="L19" s="1"/>
      <c r="M19" s="1"/>
      <c r="N19" s="1" t="s">
        <v>23</v>
      </c>
      <c r="O19" s="1"/>
      <c r="P19" s="1"/>
      <c r="Q19" s="1"/>
      <c r="R19" s="1"/>
      <c r="S19" s="2" t="s">
        <v>3</v>
      </c>
      <c r="T19" s="1" t="s">
        <v>40</v>
      </c>
      <c r="W19" s="1" t="str">
        <f t="shared" si="0"/>
        <v/>
      </c>
      <c r="X19" s="1" t="str">
        <f t="shared" si="1"/>
        <v>Gallagher</v>
      </c>
      <c r="Y19" s="1" t="str">
        <f t="shared" si="2"/>
        <v>Handzel</v>
      </c>
      <c r="Z19" s="1" t="str">
        <f t="shared" si="3"/>
        <v/>
      </c>
      <c r="AA19" s="1" t="str">
        <f t="shared" si="4"/>
        <v>Yecies</v>
      </c>
      <c r="AB19" s="1" t="s">
        <v>61</v>
      </c>
      <c r="AC19" s="1"/>
      <c r="AD19" s="1" t="s">
        <v>40</v>
      </c>
      <c r="AE19" s="1" t="s">
        <v>40</v>
      </c>
      <c r="AF19" s="1"/>
      <c r="AG19" s="1" t="s">
        <v>40</v>
      </c>
      <c r="AI19" s="22"/>
      <c r="AJ19" s="23"/>
      <c r="AK19" s="24"/>
    </row>
    <row r="20" spans="1:37" x14ac:dyDescent="0.4">
      <c r="A20" s="1" t="s">
        <v>4</v>
      </c>
      <c r="B20" s="9">
        <v>19</v>
      </c>
      <c r="C20" s="1"/>
      <c r="D20" s="1"/>
      <c r="E20" s="1"/>
      <c r="F20" s="1"/>
      <c r="G20" s="1" t="s">
        <v>40</v>
      </c>
      <c r="H20" s="1"/>
      <c r="I20" s="1"/>
      <c r="J20" s="1" t="s">
        <v>2</v>
      </c>
      <c r="K20" s="1" t="s">
        <v>40</v>
      </c>
      <c r="L20" s="1"/>
      <c r="M20" s="1" t="s">
        <v>23</v>
      </c>
      <c r="N20" s="1"/>
      <c r="O20" s="1" t="s">
        <v>21</v>
      </c>
      <c r="P20" s="1"/>
      <c r="Q20" s="1"/>
      <c r="R20" s="1"/>
      <c r="S20" s="2"/>
      <c r="T20" s="1" t="s">
        <v>40</v>
      </c>
      <c r="W20" s="1" t="str">
        <f t="shared" si="0"/>
        <v>Siow</v>
      </c>
      <c r="X20" s="1" t="str">
        <f t="shared" si="1"/>
        <v>Dadashzadeh</v>
      </c>
      <c r="Y20" s="1" t="str">
        <f t="shared" si="2"/>
        <v/>
      </c>
      <c r="Z20" s="1" t="str">
        <f t="shared" si="3"/>
        <v>Huckaby</v>
      </c>
      <c r="AA20" s="1" t="str">
        <f t="shared" si="4"/>
        <v>NEEDS COVERAGE</v>
      </c>
      <c r="AB20" s="1"/>
      <c r="AC20" s="1" t="s">
        <v>40</v>
      </c>
      <c r="AD20" s="1" t="s">
        <v>40</v>
      </c>
      <c r="AE20" s="1"/>
      <c r="AF20" s="1" t="s">
        <v>40</v>
      </c>
      <c r="AG20" s="1" t="s">
        <v>40</v>
      </c>
      <c r="AI20" s="22"/>
      <c r="AJ20" s="23"/>
      <c r="AK20" s="24"/>
    </row>
    <row r="21" spans="1:37" x14ac:dyDescent="0.4">
      <c r="A21" s="1" t="s">
        <v>10</v>
      </c>
      <c r="B21" s="9">
        <v>20</v>
      </c>
      <c r="C21" s="1"/>
      <c r="D21" s="1" t="s">
        <v>23</v>
      </c>
      <c r="E21" s="1"/>
      <c r="F21" s="1" t="s">
        <v>21</v>
      </c>
      <c r="G21" s="1"/>
      <c r="H21" s="1" t="s">
        <v>40</v>
      </c>
      <c r="I21" s="1"/>
      <c r="J21" s="1" t="s">
        <v>40</v>
      </c>
      <c r="K21" s="1" t="s">
        <v>40</v>
      </c>
      <c r="L21" s="1"/>
      <c r="M21" s="1"/>
      <c r="N21" s="1"/>
      <c r="O21" s="1"/>
      <c r="P21" s="1"/>
      <c r="Q21" s="1" t="s">
        <v>2</v>
      </c>
      <c r="R21" s="1" t="s">
        <v>40</v>
      </c>
      <c r="S21" s="2"/>
      <c r="T21" s="1" t="s">
        <v>40</v>
      </c>
      <c r="W21" s="1" t="str">
        <f t="shared" si="0"/>
        <v>Myers</v>
      </c>
      <c r="X21" s="1" t="str">
        <f t="shared" si="1"/>
        <v>Van Der Windt</v>
      </c>
      <c r="Y21" s="1" t="str">
        <f t="shared" si="2"/>
        <v/>
      </c>
      <c r="Z21" s="1" t="str">
        <f t="shared" si="3"/>
        <v>Griepentrog</v>
      </c>
      <c r="AA21" s="1" t="str">
        <f t="shared" si="4"/>
        <v>NEEDS COVERAGE</v>
      </c>
      <c r="AB21" s="1"/>
      <c r="AC21" s="1" t="s">
        <v>40</v>
      </c>
      <c r="AD21" s="1" t="s">
        <v>40</v>
      </c>
      <c r="AE21" s="1"/>
      <c r="AF21" s="1" t="s">
        <v>40</v>
      </c>
      <c r="AG21" s="1" t="s">
        <v>40</v>
      </c>
      <c r="AI21" s="26"/>
      <c r="AJ21" s="25"/>
      <c r="AK21" s="24"/>
    </row>
    <row r="22" spans="1:37" x14ac:dyDescent="0.4">
      <c r="A22" s="1" t="s">
        <v>5</v>
      </c>
      <c r="B22" s="9">
        <v>21</v>
      </c>
      <c r="C22" s="1"/>
      <c r="D22" s="1"/>
      <c r="E22" s="1" t="s">
        <v>40</v>
      </c>
      <c r="F22" s="1"/>
      <c r="G22" s="1" t="s">
        <v>40</v>
      </c>
      <c r="H22" s="1" t="s">
        <v>40</v>
      </c>
      <c r="I22" s="1" t="s">
        <v>22</v>
      </c>
      <c r="J22" s="1" t="s">
        <v>40</v>
      </c>
      <c r="K22" s="1" t="s">
        <v>40</v>
      </c>
      <c r="L22" s="1" t="s">
        <v>40</v>
      </c>
      <c r="M22" s="1"/>
      <c r="N22" s="1"/>
      <c r="O22" s="1"/>
      <c r="P22" s="1" t="s">
        <v>2</v>
      </c>
      <c r="Q22" s="1"/>
      <c r="R22" s="1" t="s">
        <v>40</v>
      </c>
      <c r="S22" s="2" t="s">
        <v>3</v>
      </c>
      <c r="T22" s="1" t="s">
        <v>40</v>
      </c>
      <c r="W22" s="1" t="str">
        <f t="shared" si="0"/>
        <v>Kulkarni</v>
      </c>
      <c r="X22" s="1" t="str">
        <f t="shared" si="1"/>
        <v/>
      </c>
      <c r="Y22" s="1" t="str">
        <f t="shared" si="2"/>
        <v>Okolo</v>
      </c>
      <c r="Z22" s="1" t="str">
        <f t="shared" si="3"/>
        <v/>
      </c>
      <c r="AA22" s="1" t="str">
        <f t="shared" si="4"/>
        <v>Yecies</v>
      </c>
      <c r="AB22" s="1" t="s">
        <v>65</v>
      </c>
      <c r="AC22" s="1" t="s">
        <v>40</v>
      </c>
      <c r="AD22" s="1"/>
      <c r="AE22" s="1" t="s">
        <v>40</v>
      </c>
      <c r="AF22" s="1"/>
      <c r="AG22" s="1" t="s">
        <v>40</v>
      </c>
      <c r="AI22" s="22"/>
      <c r="AJ22" s="26"/>
      <c r="AK22" s="24"/>
    </row>
    <row r="23" spans="1:37" x14ac:dyDescent="0.4">
      <c r="A23" s="1" t="s">
        <v>6</v>
      </c>
      <c r="B23" s="9">
        <v>22</v>
      </c>
      <c r="C23" s="1"/>
      <c r="D23" s="1"/>
      <c r="E23" s="1" t="s">
        <v>40</v>
      </c>
      <c r="F23" s="1"/>
      <c r="G23" s="1" t="s">
        <v>40</v>
      </c>
      <c r="H23" s="1" t="s">
        <v>2</v>
      </c>
      <c r="I23" s="1"/>
      <c r="J23" s="1" t="s">
        <v>40</v>
      </c>
      <c r="K23" s="1" t="s">
        <v>40</v>
      </c>
      <c r="L23" s="1" t="s">
        <v>40</v>
      </c>
      <c r="M23" s="1"/>
      <c r="N23" s="1"/>
      <c r="O23" s="1"/>
      <c r="P23" s="1"/>
      <c r="Q23" s="1"/>
      <c r="R23" s="1" t="s">
        <v>40</v>
      </c>
      <c r="S23" s="2"/>
      <c r="T23" s="1" t="s">
        <v>40</v>
      </c>
      <c r="W23" s="1" t="str">
        <f t="shared" si="0"/>
        <v>Hill (Kirk)</v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/>
      <c r="AC23" s="1" t="s">
        <v>40</v>
      </c>
      <c r="AD23" s="1"/>
      <c r="AE23" s="1"/>
      <c r="AF23" s="1"/>
      <c r="AG23" s="1" t="s">
        <v>40</v>
      </c>
      <c r="AI23" s="22"/>
      <c r="AJ23" s="23"/>
      <c r="AK23" s="24"/>
    </row>
    <row r="24" spans="1:37" x14ac:dyDescent="0.4">
      <c r="A24" s="1" t="s">
        <v>7</v>
      </c>
      <c r="B24" s="9">
        <v>23</v>
      </c>
      <c r="C24" s="1" t="s">
        <v>22</v>
      </c>
      <c r="D24" s="1"/>
      <c r="E24" s="1" t="s">
        <v>40</v>
      </c>
      <c r="F24" s="1"/>
      <c r="G24" s="1" t="s">
        <v>40</v>
      </c>
      <c r="H24" s="1"/>
      <c r="I24" s="1" t="s">
        <v>40</v>
      </c>
      <c r="J24" s="1" t="s">
        <v>40</v>
      </c>
      <c r="K24" s="1" t="s">
        <v>40</v>
      </c>
      <c r="L24" s="1"/>
      <c r="M24" s="1"/>
      <c r="N24" s="1" t="s">
        <v>3</v>
      </c>
      <c r="O24" s="1"/>
      <c r="P24" s="1"/>
      <c r="Q24" s="1" t="s">
        <v>23</v>
      </c>
      <c r="R24" s="1" t="s">
        <v>40</v>
      </c>
      <c r="S24" s="2"/>
      <c r="T24" s="1" t="s">
        <v>40</v>
      </c>
      <c r="W24" s="1" t="str">
        <f t="shared" si="0"/>
        <v/>
      </c>
      <c r="X24" s="1" t="str">
        <f t="shared" si="1"/>
        <v>Myers</v>
      </c>
      <c r="Y24" s="1" t="str">
        <f t="shared" si="2"/>
        <v>Dyer</v>
      </c>
      <c r="Z24" s="1" t="str">
        <f t="shared" si="3"/>
        <v/>
      </c>
      <c r="AA24" s="1" t="str">
        <f t="shared" si="4"/>
        <v>Gallagher</v>
      </c>
      <c r="AB24" s="1" t="s">
        <v>66</v>
      </c>
      <c r="AC24" s="1"/>
      <c r="AD24" s="1" t="s">
        <v>40</v>
      </c>
      <c r="AE24" s="1" t="s">
        <v>40</v>
      </c>
      <c r="AF24" s="1"/>
      <c r="AG24" s="1" t="s">
        <v>40</v>
      </c>
      <c r="AI24" s="22"/>
      <c r="AJ24" s="25"/>
      <c r="AK24" s="24"/>
    </row>
    <row r="25" spans="1:37" x14ac:dyDescent="0.4">
      <c r="A25" s="1" t="s">
        <v>8</v>
      </c>
      <c r="B25" s="9">
        <v>24</v>
      </c>
      <c r="C25" s="1"/>
      <c r="D25" s="1"/>
      <c r="E25" s="1" t="s">
        <v>40</v>
      </c>
      <c r="F25" s="1"/>
      <c r="G25" s="1" t="s">
        <v>22</v>
      </c>
      <c r="H25" s="1"/>
      <c r="I25" s="1"/>
      <c r="J25" s="1"/>
      <c r="K25" s="1"/>
      <c r="L25" s="1" t="s">
        <v>2</v>
      </c>
      <c r="M25" s="1" t="s">
        <v>23</v>
      </c>
      <c r="N25" s="1"/>
      <c r="O25" s="1"/>
      <c r="P25" s="1"/>
      <c r="Q25" s="1"/>
      <c r="R25" s="1" t="s">
        <v>40</v>
      </c>
      <c r="S25" s="2"/>
      <c r="T25" s="1" t="s">
        <v>40</v>
      </c>
      <c r="W25" s="1" t="str">
        <f t="shared" si="0"/>
        <v>Cyr</v>
      </c>
      <c r="X25" s="1" t="str">
        <f t="shared" si="1"/>
        <v>Dadashzadeh</v>
      </c>
      <c r="Y25" s="1" t="str">
        <f t="shared" si="2"/>
        <v>Handzel</v>
      </c>
      <c r="Z25" s="1" t="str">
        <f t="shared" si="3"/>
        <v/>
      </c>
      <c r="AA25" s="1" t="str">
        <f t="shared" si="4"/>
        <v>NEEDS COVERAGE</v>
      </c>
      <c r="AB25" s="1"/>
      <c r="AC25" s="1" t="s">
        <v>40</v>
      </c>
      <c r="AD25" s="1" t="s">
        <v>40</v>
      </c>
      <c r="AE25" s="1" t="s">
        <v>40</v>
      </c>
      <c r="AF25" s="1"/>
      <c r="AG25" s="1" t="s">
        <v>40</v>
      </c>
      <c r="AI25" s="22"/>
      <c r="AJ25" s="26"/>
      <c r="AK25" s="24"/>
    </row>
    <row r="26" spans="1:37" x14ac:dyDescent="0.4">
      <c r="A26" s="1" t="s">
        <v>9</v>
      </c>
      <c r="B26" s="9">
        <v>25</v>
      </c>
      <c r="C26" s="1"/>
      <c r="D26" s="1" t="s">
        <v>40</v>
      </c>
      <c r="E26" s="1"/>
      <c r="F26" s="1"/>
      <c r="G26" s="1"/>
      <c r="H26" s="1" t="s">
        <v>22</v>
      </c>
      <c r="I26" s="1"/>
      <c r="J26" s="1"/>
      <c r="K26" s="1" t="s">
        <v>3</v>
      </c>
      <c r="L26" s="1"/>
      <c r="M26" s="1" t="s">
        <v>40</v>
      </c>
      <c r="N26" s="1"/>
      <c r="O26" s="1" t="s">
        <v>2</v>
      </c>
      <c r="P26" s="1" t="s">
        <v>23</v>
      </c>
      <c r="Q26" s="1" t="s">
        <v>40</v>
      </c>
      <c r="R26" s="1"/>
      <c r="S26" s="2"/>
      <c r="T26" s="1" t="s">
        <v>40</v>
      </c>
      <c r="W26" s="1" t="str">
        <f t="shared" si="0"/>
        <v>Huckaby</v>
      </c>
      <c r="X26" s="1" t="str">
        <f t="shared" si="1"/>
        <v>Kulkarni</v>
      </c>
      <c r="Y26" s="1" t="str">
        <f t="shared" si="2"/>
        <v>Hill (Kirk)</v>
      </c>
      <c r="Z26" s="1" t="str">
        <f t="shared" si="3"/>
        <v/>
      </c>
      <c r="AA26" s="1" t="str">
        <f t="shared" si="4"/>
        <v>Tam</v>
      </c>
      <c r="AB26" s="1" t="s">
        <v>71</v>
      </c>
      <c r="AC26" s="1" t="s">
        <v>40</v>
      </c>
      <c r="AD26" s="1" t="s">
        <v>40</v>
      </c>
      <c r="AE26" s="1" t="s">
        <v>40</v>
      </c>
      <c r="AF26" s="1"/>
      <c r="AG26" s="1" t="s">
        <v>40</v>
      </c>
      <c r="AI26" s="22"/>
      <c r="AJ26" s="25"/>
      <c r="AK26" s="24"/>
    </row>
    <row r="27" spans="1:37" x14ac:dyDescent="0.4">
      <c r="A27" s="1" t="s">
        <v>4</v>
      </c>
      <c r="B27" s="9">
        <v>26</v>
      </c>
      <c r="C27" s="1"/>
      <c r="D27" s="1"/>
      <c r="E27" s="1" t="s">
        <v>2</v>
      </c>
      <c r="F27" s="1"/>
      <c r="G27" s="1"/>
      <c r="H27" s="1"/>
      <c r="I27" s="1"/>
      <c r="J27" s="1" t="s">
        <v>22</v>
      </c>
      <c r="K27" s="1" t="s">
        <v>40</v>
      </c>
      <c r="L27" s="1"/>
      <c r="M27" s="1" t="s">
        <v>40</v>
      </c>
      <c r="N27" s="1" t="s">
        <v>23</v>
      </c>
      <c r="O27" s="1"/>
      <c r="P27" s="1"/>
      <c r="Q27" s="1" t="s">
        <v>40</v>
      </c>
      <c r="R27" s="1" t="s">
        <v>3</v>
      </c>
      <c r="S27" s="2"/>
      <c r="T27" s="1" t="s">
        <v>40</v>
      </c>
      <c r="W27" s="1" t="str">
        <f t="shared" si="0"/>
        <v>Yeh</v>
      </c>
      <c r="X27" s="1" t="str">
        <f t="shared" si="1"/>
        <v>Gallagher</v>
      </c>
      <c r="Y27" s="1" t="str">
        <f t="shared" si="2"/>
        <v>Siow</v>
      </c>
      <c r="Z27" s="1" t="str">
        <f t="shared" si="3"/>
        <v/>
      </c>
      <c r="AA27" s="1" t="str">
        <f t="shared" si="4"/>
        <v>Nicholson</v>
      </c>
      <c r="AB27" s="1" t="s">
        <v>60</v>
      </c>
      <c r="AC27" s="1" t="s">
        <v>40</v>
      </c>
      <c r="AD27" s="1" t="s">
        <v>40</v>
      </c>
      <c r="AE27" s="1" t="s">
        <v>40</v>
      </c>
      <c r="AF27" s="1"/>
      <c r="AG27" s="1" t="s">
        <v>40</v>
      </c>
      <c r="AI27" s="22"/>
      <c r="AJ27" s="25"/>
      <c r="AK27" s="24"/>
    </row>
    <row r="28" spans="1:37" x14ac:dyDescent="0.4">
      <c r="A28" s="1" t="s">
        <v>10</v>
      </c>
      <c r="B28" s="9">
        <v>27</v>
      </c>
      <c r="C28" s="1" t="s">
        <v>40</v>
      </c>
      <c r="D28" s="1"/>
      <c r="E28" s="1"/>
      <c r="F28" s="1" t="s">
        <v>22</v>
      </c>
      <c r="G28" s="1"/>
      <c r="H28" s="1" t="s">
        <v>40</v>
      </c>
      <c r="I28" s="1"/>
      <c r="J28" s="1"/>
      <c r="K28" s="1" t="s">
        <v>40</v>
      </c>
      <c r="L28" s="1" t="s">
        <v>23</v>
      </c>
      <c r="M28" s="1" t="s">
        <v>40</v>
      </c>
      <c r="N28" s="1"/>
      <c r="O28" s="1"/>
      <c r="P28" s="1" t="s">
        <v>40</v>
      </c>
      <c r="Q28" s="1" t="s">
        <v>40</v>
      </c>
      <c r="R28" s="1"/>
      <c r="S28" s="2"/>
      <c r="T28" s="1" t="s">
        <v>40</v>
      </c>
      <c r="W28" s="1" t="str">
        <f t="shared" si="0"/>
        <v/>
      </c>
      <c r="X28" s="1" t="str">
        <f t="shared" si="1"/>
        <v>Cyr</v>
      </c>
      <c r="Y28" s="1" t="str">
        <f t="shared" si="2"/>
        <v>Griepentrog</v>
      </c>
      <c r="Z28" s="1" t="str">
        <f t="shared" si="3"/>
        <v/>
      </c>
      <c r="AA28" s="1" t="str">
        <f t="shared" si="4"/>
        <v>NEEDS COVERAGE</v>
      </c>
      <c r="AB28" s="1"/>
      <c r="AC28" s="1"/>
      <c r="AD28" s="1" t="s">
        <v>40</v>
      </c>
      <c r="AE28" s="1" t="s">
        <v>40</v>
      </c>
      <c r="AF28" s="1"/>
      <c r="AG28" s="1" t="s">
        <v>40</v>
      </c>
      <c r="AI28" s="22"/>
      <c r="AJ28" s="23"/>
      <c r="AK28" s="24"/>
    </row>
    <row r="29" spans="1:37" x14ac:dyDescent="0.4">
      <c r="A29" s="1" t="s">
        <v>5</v>
      </c>
      <c r="B29" s="9">
        <v>28</v>
      </c>
      <c r="C29" s="1" t="s">
        <v>40</v>
      </c>
      <c r="D29" s="1" t="s">
        <v>2</v>
      </c>
      <c r="E29" s="1" t="s">
        <v>40</v>
      </c>
      <c r="F29" s="1"/>
      <c r="G29" s="1" t="s">
        <v>40</v>
      </c>
      <c r="H29" s="1" t="s">
        <v>40</v>
      </c>
      <c r="I29" s="1" t="s">
        <v>22</v>
      </c>
      <c r="J29" s="1" t="s">
        <v>40</v>
      </c>
      <c r="K29" s="1" t="s">
        <v>40</v>
      </c>
      <c r="L29" s="1" t="s">
        <v>40</v>
      </c>
      <c r="M29" s="1"/>
      <c r="N29" s="1"/>
      <c r="O29" s="1"/>
      <c r="P29" s="1" t="s">
        <v>40</v>
      </c>
      <c r="Q29" s="1" t="s">
        <v>40</v>
      </c>
      <c r="R29" s="1"/>
      <c r="S29" s="2"/>
      <c r="T29" s="1" t="s">
        <v>40</v>
      </c>
      <c r="W29" s="1" t="str">
        <f t="shared" si="0"/>
        <v>Van Der Windt</v>
      </c>
      <c r="X29" s="1" t="str">
        <f t="shared" si="1"/>
        <v/>
      </c>
      <c r="Y29" s="1" t="str">
        <f t="shared" si="2"/>
        <v>Okolo</v>
      </c>
      <c r="Z29" s="1" t="str">
        <f t="shared" si="3"/>
        <v/>
      </c>
      <c r="AA29" s="1" t="str">
        <f t="shared" si="4"/>
        <v>NEEDS COVERAGE</v>
      </c>
      <c r="AB29" s="1"/>
      <c r="AC29" s="1" t="s">
        <v>40</v>
      </c>
      <c r="AD29" s="1"/>
      <c r="AE29" s="1" t="s">
        <v>40</v>
      </c>
      <c r="AF29" s="1"/>
      <c r="AG29" s="1" t="s">
        <v>40</v>
      </c>
      <c r="AI29" s="22"/>
      <c r="AJ29" s="26"/>
      <c r="AK29" s="24"/>
    </row>
    <row r="30" spans="1:37" x14ac:dyDescent="0.4">
      <c r="A30" s="1" t="s">
        <v>6</v>
      </c>
      <c r="B30" s="9">
        <v>29</v>
      </c>
      <c r="C30" s="1" t="s">
        <v>40</v>
      </c>
      <c r="D30" s="1"/>
      <c r="E30" s="1" t="s">
        <v>40</v>
      </c>
      <c r="F30" s="1"/>
      <c r="G30" s="1" t="s">
        <v>40</v>
      </c>
      <c r="H30" s="1" t="s">
        <v>40</v>
      </c>
      <c r="I30" s="1"/>
      <c r="J30" s="1" t="s">
        <v>40</v>
      </c>
      <c r="K30" s="1" t="s">
        <v>40</v>
      </c>
      <c r="L30" s="1" t="s">
        <v>40</v>
      </c>
      <c r="M30" s="1"/>
      <c r="N30" s="1"/>
      <c r="O30" s="1"/>
      <c r="P30" s="1" t="s">
        <v>40</v>
      </c>
      <c r="Q30" s="1"/>
      <c r="R30" s="1" t="s">
        <v>3</v>
      </c>
      <c r="S30" s="2"/>
      <c r="T30" s="1" t="s">
        <v>40</v>
      </c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Nicholson</v>
      </c>
      <c r="AB30" s="1" t="s">
        <v>60</v>
      </c>
      <c r="AC30" s="1"/>
      <c r="AD30" s="1"/>
      <c r="AE30" s="1"/>
      <c r="AF30" s="1"/>
      <c r="AG30" s="1" t="s">
        <v>40</v>
      </c>
      <c r="AI30" s="22"/>
      <c r="AJ30" s="25"/>
      <c r="AK30" s="24"/>
    </row>
    <row r="31" spans="1:37" x14ac:dyDescent="0.4">
      <c r="A31" s="1" t="s">
        <v>7</v>
      </c>
      <c r="B31" s="9">
        <v>30</v>
      </c>
      <c r="C31" s="1" t="s">
        <v>40</v>
      </c>
      <c r="D31" s="1"/>
      <c r="E31" s="1" t="s">
        <v>40</v>
      </c>
      <c r="F31" s="1"/>
      <c r="G31" s="1" t="s">
        <v>40</v>
      </c>
      <c r="H31" s="1"/>
      <c r="I31" s="1" t="s">
        <v>40</v>
      </c>
      <c r="J31" s="1" t="s">
        <v>40</v>
      </c>
      <c r="K31" s="1" t="s">
        <v>22</v>
      </c>
      <c r="L31" s="1"/>
      <c r="M31" s="1"/>
      <c r="N31" s="1"/>
      <c r="O31" s="1"/>
      <c r="P31" s="1" t="s">
        <v>40</v>
      </c>
      <c r="Q31" s="1" t="s">
        <v>23</v>
      </c>
      <c r="R31" s="1" t="s">
        <v>40</v>
      </c>
      <c r="S31" s="2"/>
      <c r="T31" s="1" t="s">
        <v>40</v>
      </c>
      <c r="W31" s="1" t="str">
        <f t="shared" si="0"/>
        <v/>
      </c>
      <c r="X31" s="1" t="str">
        <f t="shared" si="1"/>
        <v>Myers</v>
      </c>
      <c r="Y31" s="1" t="str">
        <f t="shared" si="2"/>
        <v>Tam</v>
      </c>
      <c r="Z31" s="1" t="str">
        <f t="shared" si="3"/>
        <v/>
      </c>
      <c r="AA31" s="1" t="str">
        <f t="shared" si="4"/>
        <v>NEEDS COVERAGE</v>
      </c>
      <c r="AB31" s="1"/>
      <c r="AC31" s="1"/>
      <c r="AD31" s="1" t="s">
        <v>40</v>
      </c>
      <c r="AE31" s="1" t="s">
        <v>40</v>
      </c>
      <c r="AF31" s="1"/>
      <c r="AG31" s="1" t="s">
        <v>40</v>
      </c>
      <c r="AI31" s="22"/>
      <c r="AJ31" s="23"/>
      <c r="AK31" s="24"/>
    </row>
    <row r="32" spans="1:37" x14ac:dyDescent="0.4">
      <c r="A32" s="1" t="s">
        <v>8</v>
      </c>
      <c r="B32" s="9">
        <v>31</v>
      </c>
      <c r="C32" s="1"/>
      <c r="D32" s="1"/>
      <c r="E32" s="1" t="s">
        <v>40</v>
      </c>
      <c r="F32" s="1"/>
      <c r="G32" s="1"/>
      <c r="H32" s="1"/>
      <c r="I32" s="1"/>
      <c r="J32" s="1" t="s">
        <v>22</v>
      </c>
      <c r="K32" s="1"/>
      <c r="L32" s="1"/>
      <c r="M32" s="1" t="s">
        <v>2</v>
      </c>
      <c r="N32" s="1"/>
      <c r="O32" s="1" t="s">
        <v>23</v>
      </c>
      <c r="P32" s="1"/>
      <c r="Q32" s="1"/>
      <c r="R32" s="1"/>
      <c r="S32" s="2"/>
      <c r="T32" s="1" t="s">
        <v>40</v>
      </c>
      <c r="W32" s="1" t="str">
        <f>IF(ISBLANK(AC32),"",IF(COUNTIF($C32:$T32,W$1)&lt;1,"NEEDS COVERAGE",IF(COUNTIF($C32:$T32,W$1)&gt;1,"ERROR",IF(ISNA(INDEX($C$1:$T$1,MATCH(W$1,$C32:$T32,0))),"",INDEX($C$1:$T$1,MATCH(W$1,$C32:$T32,0))))))</f>
        <v>Dadashzadeh</v>
      </c>
      <c r="X32" s="1" t="str">
        <f>IF(ISBLANK(AD32),"",IF(COUNTIF($C32:$T32,X$1)&lt;1,"NEEDS COVERAGE",IF(COUNTIF($C32:$T32,X$1)&gt;1,"ERROR",IF(ISNA(INDEX($C$1:$T$1,MATCH(X$1,$C32:$T32,0))),"",INDEX($C$1:$T$1,MATCH(X$1,$C32:$T32,0))))))</f>
        <v>Huckaby</v>
      </c>
      <c r="Y32" s="1" t="str">
        <f>IF(ISBLANK(AE32),"",IF(COUNTIF($C32:$T32,Y$1)&lt;1,"NEEDS COVERAGE",IF(COUNTIF($C32:$T32,Y$1)&gt;1,"ERROR",IF(ISNA(INDEX($C$1:$T$1,MATCH(Y$1,$C32:$T32,0))),"",INDEX($C$1:$T$1,MATCH(Y$1,$C32:$T32,0))))))</f>
        <v>Siow</v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NEEDS COVERAGE</v>
      </c>
      <c r="AB32" s="1"/>
      <c r="AC32" s="1" t="s">
        <v>40</v>
      </c>
      <c r="AD32" s="1" t="s">
        <v>40</v>
      </c>
      <c r="AE32" s="1" t="s">
        <v>40</v>
      </c>
      <c r="AF32" s="1"/>
      <c r="AG32" s="1" t="s">
        <v>40</v>
      </c>
      <c r="AI32" s="22"/>
      <c r="AJ32" s="26"/>
      <c r="AK32" s="24"/>
    </row>
    <row r="33" spans="1:33" x14ac:dyDescent="0.4">
      <c r="B33" s="28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2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4">
      <c r="A34" s="7" t="s">
        <v>11</v>
      </c>
      <c r="B34" s="28"/>
      <c r="C34" s="7" t="s">
        <v>44</v>
      </c>
      <c r="D34" s="7" t="s">
        <v>39</v>
      </c>
      <c r="E34" s="7" t="s">
        <v>44</v>
      </c>
      <c r="F34" s="7" t="s">
        <v>44</v>
      </c>
      <c r="G34" s="7" t="s">
        <v>39</v>
      </c>
      <c r="H34" s="7" t="s">
        <v>42</v>
      </c>
      <c r="I34" s="7" t="s">
        <v>39</v>
      </c>
      <c r="J34" s="7" t="s">
        <v>39</v>
      </c>
      <c r="K34" s="7" t="s">
        <v>39</v>
      </c>
      <c r="L34" s="7" t="s">
        <v>46</v>
      </c>
      <c r="M34" s="7" t="s">
        <v>39</v>
      </c>
      <c r="N34" s="7" t="s">
        <v>39</v>
      </c>
      <c r="O34" s="7" t="s">
        <v>39</v>
      </c>
      <c r="P34" s="7" t="s">
        <v>39</v>
      </c>
      <c r="Q34" s="7" t="s">
        <v>42</v>
      </c>
      <c r="R34" s="7" t="s">
        <v>59</v>
      </c>
      <c r="S34" s="19" t="s">
        <v>51</v>
      </c>
      <c r="T34" s="7" t="s">
        <v>49</v>
      </c>
      <c r="W34" s="6"/>
      <c r="X34" s="4"/>
      <c r="Y34" s="6"/>
      <c r="Z34" s="6"/>
      <c r="AA34" s="6"/>
      <c r="AB34" s="6"/>
      <c r="AC34" s="1">
        <f>COUNTIF(AC2:AC32,"x")</f>
        <v>19</v>
      </c>
      <c r="AD34" s="1">
        <f>COUNTIF(AD2:AD31,"x")</f>
        <v>21</v>
      </c>
      <c r="AE34" s="1">
        <f>COUNTIF(AE2:AE31,"x")</f>
        <v>14</v>
      </c>
      <c r="AF34" s="1">
        <f>COUNTIF(AF2:AF31,"x")</f>
        <v>6</v>
      </c>
      <c r="AG34" s="1">
        <f>COUNTIF(AG2:AG31,"x")</f>
        <v>30</v>
      </c>
    </row>
    <row r="35" spans="1:33" s="8" customFormat="1" x14ac:dyDescent="0.4">
      <c r="A35" s="1" t="s">
        <v>12</v>
      </c>
      <c r="B35" s="7"/>
      <c r="C35" s="1">
        <f t="shared" ref="C35:K35" si="5">COUNTIF(C2:C32,"Trauma")+COUNTIF(C2:C32,"CHP*")+COUNTIF(C2:C32,"SHY")+COUNTIF(C2:C32,"CT")</f>
        <v>3</v>
      </c>
      <c r="D35" s="1">
        <f t="shared" si="5"/>
        <v>5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4</v>
      </c>
      <c r="I35" s="1">
        <f t="shared" si="5"/>
        <v>5</v>
      </c>
      <c r="J35" s="1">
        <f t="shared" si="5"/>
        <v>5</v>
      </c>
      <c r="K35" s="1">
        <f t="shared" si="5"/>
        <v>5</v>
      </c>
      <c r="L35" s="1">
        <f>COUNTIF(L2:L32,"Trauma")+COUNTIF(L2:L32,"CHP*")+COUNTIF(L2:L32,"SHY")+COUNTIF(L2:L32,"CT")</f>
        <v>4</v>
      </c>
      <c r="M35" s="1">
        <f t="shared" ref="M35:S35" si="6">COUNTIF(M2:M32,"Trauma")+COUNTIF(M2:M32,"CHP*")+COUNTIF(M2:M32,"SHY")+COUNTIF(M2:M32,"CT")</f>
        <v>5</v>
      </c>
      <c r="N35" s="1">
        <f t="shared" si="6"/>
        <v>5</v>
      </c>
      <c r="O35" s="1">
        <f t="shared" si="6"/>
        <v>6</v>
      </c>
      <c r="P35" s="1">
        <f t="shared" si="6"/>
        <v>5</v>
      </c>
      <c r="Q35" s="1">
        <f t="shared" si="6"/>
        <v>4</v>
      </c>
      <c r="R35" s="1">
        <f t="shared" si="6"/>
        <v>6</v>
      </c>
      <c r="S35" s="2">
        <f t="shared" si="6"/>
        <v>3</v>
      </c>
      <c r="T35" s="1">
        <v>0</v>
      </c>
      <c r="V35" s="3"/>
      <c r="W35" s="21" t="s">
        <v>54</v>
      </c>
      <c r="X35" s="3">
        <f>SUM(AC34:AF34)</f>
        <v>60</v>
      </c>
      <c r="Y35" s="16"/>
      <c r="Z35" s="16"/>
      <c r="AA35" s="16"/>
      <c r="AB35" s="16"/>
    </row>
    <row r="36" spans="1:33" x14ac:dyDescent="0.4">
      <c r="A36" s="1" t="s">
        <v>28</v>
      </c>
      <c r="B36" s="9"/>
      <c r="C36" s="9">
        <f>INT(RIGHT(C34))</f>
        <v>3</v>
      </c>
      <c r="D36" s="9">
        <f t="shared" ref="D36:K36" si="7">INT(RIGHT(D34))</f>
        <v>5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4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R36" si="8">INT(RIGHT(L34))</f>
        <v>4</v>
      </c>
      <c r="M36" s="9">
        <f t="shared" si="8"/>
        <v>5</v>
      </c>
      <c r="N36" s="9">
        <f t="shared" si="8"/>
        <v>5</v>
      </c>
      <c r="O36" s="9">
        <f t="shared" si="8"/>
        <v>5</v>
      </c>
      <c r="P36" s="9">
        <f t="shared" si="8"/>
        <v>5</v>
      </c>
      <c r="Q36" s="9">
        <f t="shared" si="8"/>
        <v>4</v>
      </c>
      <c r="R36" s="9">
        <f t="shared" si="8"/>
        <v>6</v>
      </c>
      <c r="S36" s="17">
        <v>3</v>
      </c>
      <c r="T36" s="9">
        <v>0</v>
      </c>
      <c r="W36" s="10" t="s">
        <v>55</v>
      </c>
      <c r="X36" s="3">
        <f>SUM($AC$34:$AG$34)</f>
        <v>90</v>
      </c>
    </row>
    <row r="37" spans="1:33" x14ac:dyDescent="0.4">
      <c r="A37" s="1" t="s">
        <v>30</v>
      </c>
      <c r="B37" s="9"/>
      <c r="C37" s="9">
        <f t="shared" ref="C37:T37" si="9">C36-C35</f>
        <v>0</v>
      </c>
      <c r="D37" s="9">
        <f t="shared" si="9"/>
        <v>0</v>
      </c>
      <c r="E37" s="9">
        <f t="shared" si="9"/>
        <v>0</v>
      </c>
      <c r="F37" s="9">
        <f t="shared" si="9"/>
        <v>0</v>
      </c>
      <c r="G37" s="9">
        <f t="shared" si="9"/>
        <v>0</v>
      </c>
      <c r="H37" s="9">
        <f t="shared" si="9"/>
        <v>0</v>
      </c>
      <c r="I37" s="9">
        <f t="shared" si="9"/>
        <v>0</v>
      </c>
      <c r="J37" s="9">
        <f t="shared" si="9"/>
        <v>0</v>
      </c>
      <c r="K37" s="9">
        <f t="shared" si="9"/>
        <v>0</v>
      </c>
      <c r="L37" s="9">
        <f t="shared" ref="L37:S37" si="10">L36-L35</f>
        <v>0</v>
      </c>
      <c r="M37" s="9">
        <f t="shared" si="10"/>
        <v>0</v>
      </c>
      <c r="N37" s="9">
        <f t="shared" si="10"/>
        <v>0</v>
      </c>
      <c r="O37" s="9">
        <f t="shared" si="10"/>
        <v>-1</v>
      </c>
      <c r="P37" s="9">
        <f t="shared" si="10"/>
        <v>0</v>
      </c>
      <c r="Q37" s="9">
        <f t="shared" si="10"/>
        <v>0</v>
      </c>
      <c r="R37" s="9">
        <f t="shared" si="10"/>
        <v>0</v>
      </c>
      <c r="S37" s="17">
        <f t="shared" si="10"/>
        <v>0</v>
      </c>
      <c r="T37" s="9">
        <f t="shared" si="9"/>
        <v>0</v>
      </c>
      <c r="W37" s="10" t="s">
        <v>56</v>
      </c>
      <c r="X37" s="3">
        <f>SUM(D36:T36)</f>
        <v>72</v>
      </c>
    </row>
    <row r="38" spans="1:33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17"/>
      <c r="T38" s="9"/>
    </row>
    <row r="39" spans="1:33" x14ac:dyDescent="0.4">
      <c r="A39" s="1" t="s">
        <v>2</v>
      </c>
      <c r="B39" s="9"/>
      <c r="C39" s="9">
        <f t="shared" ref="C39:S39" si="11">COUNTIF(C$2:C$32,$A39)</f>
        <v>2</v>
      </c>
      <c r="D39" s="9">
        <f t="shared" si="11"/>
        <v>2</v>
      </c>
      <c r="E39" s="9">
        <f t="shared" si="11"/>
        <v>2</v>
      </c>
      <c r="F39" s="9">
        <f t="shared" si="11"/>
        <v>1</v>
      </c>
      <c r="G39" s="9">
        <f t="shared" si="11"/>
        <v>1</v>
      </c>
      <c r="H39" s="9">
        <f t="shared" si="11"/>
        <v>1</v>
      </c>
      <c r="I39" s="9">
        <f t="shared" si="11"/>
        <v>1</v>
      </c>
      <c r="J39" s="9">
        <f t="shared" si="11"/>
        <v>1</v>
      </c>
      <c r="K39" s="9">
        <f t="shared" si="11"/>
        <v>0</v>
      </c>
      <c r="L39" s="9">
        <f t="shared" si="11"/>
        <v>1</v>
      </c>
      <c r="M39" s="9">
        <f t="shared" si="11"/>
        <v>2</v>
      </c>
      <c r="N39" s="9">
        <f t="shared" si="11"/>
        <v>1</v>
      </c>
      <c r="O39" s="9">
        <f t="shared" si="11"/>
        <v>1</v>
      </c>
      <c r="P39" s="9">
        <f t="shared" si="11"/>
        <v>1</v>
      </c>
      <c r="Q39" s="9">
        <f t="shared" si="11"/>
        <v>1</v>
      </c>
      <c r="R39" s="9">
        <f t="shared" si="11"/>
        <v>1</v>
      </c>
      <c r="S39" s="17">
        <f t="shared" si="11"/>
        <v>0</v>
      </c>
      <c r="T39" s="9">
        <f t="shared" ref="C39:T43" si="12">COUNTIF(T$2:T$32,$A39)</f>
        <v>0</v>
      </c>
    </row>
    <row r="40" spans="1:33" x14ac:dyDescent="0.4">
      <c r="A40" s="1" t="s">
        <v>22</v>
      </c>
      <c r="B40" s="9"/>
      <c r="C40" s="9">
        <f t="shared" si="12"/>
        <v>1</v>
      </c>
      <c r="D40" s="9">
        <f t="shared" si="12"/>
        <v>2</v>
      </c>
      <c r="E40" s="9">
        <f t="shared" si="12"/>
        <v>1</v>
      </c>
      <c r="F40" s="9">
        <f t="shared" si="12"/>
        <v>1</v>
      </c>
      <c r="G40" s="9">
        <f t="shared" si="12"/>
        <v>2</v>
      </c>
      <c r="H40" s="9">
        <f t="shared" si="12"/>
        <v>2</v>
      </c>
      <c r="I40" s="9">
        <f t="shared" si="12"/>
        <v>2</v>
      </c>
      <c r="J40" s="9">
        <f t="shared" si="12"/>
        <v>2</v>
      </c>
      <c r="K40" s="9">
        <f t="shared" si="12"/>
        <v>2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17">
        <f t="shared" si="12"/>
        <v>0</v>
      </c>
      <c r="T40" s="9">
        <f t="shared" si="12"/>
        <v>0</v>
      </c>
    </row>
    <row r="41" spans="1:33" x14ac:dyDescent="0.4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1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1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2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17">
        <f t="shared" si="12"/>
        <v>0</v>
      </c>
      <c r="T41" s="9">
        <f t="shared" si="12"/>
        <v>0</v>
      </c>
    </row>
    <row r="42" spans="1:33" x14ac:dyDescent="0.4">
      <c r="A42" s="1" t="s">
        <v>23</v>
      </c>
      <c r="B42" s="9"/>
      <c r="C42" s="9">
        <f t="shared" si="12"/>
        <v>0</v>
      </c>
      <c r="D42" s="9">
        <f t="shared" si="12"/>
        <v>1</v>
      </c>
      <c r="E42" s="9">
        <f t="shared" si="12"/>
        <v>0</v>
      </c>
      <c r="F42" s="9">
        <f t="shared" si="12"/>
        <v>0</v>
      </c>
      <c r="G42" s="9">
        <f t="shared" si="12"/>
        <v>1</v>
      </c>
      <c r="H42" s="9">
        <f t="shared" si="12"/>
        <v>1</v>
      </c>
      <c r="I42" s="9">
        <f t="shared" si="12"/>
        <v>1</v>
      </c>
      <c r="J42" s="9">
        <f t="shared" si="12"/>
        <v>1</v>
      </c>
      <c r="K42" s="9">
        <f t="shared" si="12"/>
        <v>1</v>
      </c>
      <c r="L42" s="9">
        <f t="shared" si="12"/>
        <v>2</v>
      </c>
      <c r="M42" s="9">
        <f t="shared" si="12"/>
        <v>3</v>
      </c>
      <c r="N42" s="9">
        <f t="shared" si="12"/>
        <v>2</v>
      </c>
      <c r="O42" s="9">
        <f t="shared" si="12"/>
        <v>3</v>
      </c>
      <c r="P42" s="9">
        <f t="shared" si="12"/>
        <v>2</v>
      </c>
      <c r="Q42" s="9">
        <f t="shared" si="12"/>
        <v>2</v>
      </c>
      <c r="R42" s="9">
        <f t="shared" si="12"/>
        <v>2</v>
      </c>
      <c r="S42" s="17">
        <f t="shared" si="12"/>
        <v>0</v>
      </c>
      <c r="T42" s="9">
        <f t="shared" si="12"/>
        <v>0</v>
      </c>
    </row>
    <row r="43" spans="1:33" x14ac:dyDescent="0.4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1</v>
      </c>
      <c r="H43" s="9">
        <f t="shared" si="12"/>
        <v>0</v>
      </c>
      <c r="I43" s="9">
        <f t="shared" si="12"/>
        <v>1</v>
      </c>
      <c r="J43" s="9">
        <f t="shared" si="12"/>
        <v>1</v>
      </c>
      <c r="K43" s="9">
        <f t="shared" si="12"/>
        <v>1</v>
      </c>
      <c r="L43" s="9">
        <f t="shared" si="12"/>
        <v>1</v>
      </c>
      <c r="M43" s="9">
        <f t="shared" si="12"/>
        <v>0</v>
      </c>
      <c r="N43" s="9">
        <f t="shared" si="12"/>
        <v>2</v>
      </c>
      <c r="O43" s="9">
        <f t="shared" si="12"/>
        <v>0</v>
      </c>
      <c r="P43" s="9">
        <f t="shared" si="12"/>
        <v>2</v>
      </c>
      <c r="Q43" s="9">
        <f t="shared" si="12"/>
        <v>1</v>
      </c>
      <c r="R43" s="9">
        <f t="shared" si="12"/>
        <v>3</v>
      </c>
      <c r="S43" s="17">
        <f t="shared" si="12"/>
        <v>3</v>
      </c>
      <c r="T43" s="9">
        <f t="shared" si="12"/>
        <v>0</v>
      </c>
    </row>
    <row r="44" spans="1:33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1</v>
      </c>
      <c r="D44" s="1">
        <f t="shared" si="13"/>
        <v>1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2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1</v>
      </c>
      <c r="O44" s="1">
        <f t="shared" si="14"/>
        <v>1</v>
      </c>
      <c r="P44" s="1">
        <f t="shared" si="14"/>
        <v>1</v>
      </c>
      <c r="Q44" s="1">
        <f t="shared" si="14"/>
        <v>0</v>
      </c>
      <c r="R44" s="1">
        <f t="shared" si="14"/>
        <v>0</v>
      </c>
      <c r="S44" s="2"/>
      <c r="T44" s="1">
        <f t="shared" si="13"/>
        <v>0</v>
      </c>
    </row>
    <row r="45" spans="1:33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1</v>
      </c>
      <c r="F45" s="1">
        <f t="shared" si="15"/>
        <v>1</v>
      </c>
      <c r="G45" s="1">
        <f t="shared" si="15"/>
        <v>0</v>
      </c>
      <c r="H45" s="1">
        <f t="shared" si="15"/>
        <v>1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1</v>
      </c>
      <c r="S45" s="2"/>
      <c r="T45" s="1">
        <f t="shared" si="15"/>
        <v>0</v>
      </c>
    </row>
    <row r="46" spans="1:33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1</v>
      </c>
      <c r="D46" s="1">
        <f t="shared" si="17"/>
        <v>1</v>
      </c>
      <c r="E46" s="1">
        <f t="shared" si="17"/>
        <v>0</v>
      </c>
      <c r="F46" s="1">
        <f t="shared" si="17"/>
        <v>0</v>
      </c>
      <c r="G46" s="1">
        <f t="shared" si="17"/>
        <v>1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3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2</v>
      </c>
      <c r="O46" s="1">
        <f t="shared" si="18"/>
        <v>1</v>
      </c>
      <c r="P46" s="1">
        <f t="shared" si="18"/>
        <v>0</v>
      </c>
      <c r="Q46" s="1">
        <f t="shared" si="18"/>
        <v>2</v>
      </c>
      <c r="R46" s="1">
        <f t="shared" si="18"/>
        <v>1</v>
      </c>
      <c r="S46" s="2"/>
      <c r="T46" s="1">
        <f t="shared" si="17"/>
        <v>0</v>
      </c>
    </row>
    <row r="47" spans="1:33" x14ac:dyDescent="0.4">
      <c r="A47" s="1" t="s">
        <v>25</v>
      </c>
      <c r="C47" s="1">
        <f t="shared" ref="C47:T47" si="19">SUM(C44:C46)</f>
        <v>2</v>
      </c>
      <c r="D47" s="1">
        <f t="shared" si="19"/>
        <v>2</v>
      </c>
      <c r="E47" s="1">
        <f t="shared" si="19"/>
        <v>1</v>
      </c>
      <c r="F47" s="1">
        <f t="shared" si="19"/>
        <v>1</v>
      </c>
      <c r="G47" s="1">
        <f t="shared" si="19"/>
        <v>1</v>
      </c>
      <c r="H47" s="1">
        <f t="shared" si="19"/>
        <v>1</v>
      </c>
      <c r="I47" s="1">
        <f t="shared" si="19"/>
        <v>2</v>
      </c>
      <c r="J47" s="1">
        <f t="shared" si="19"/>
        <v>0</v>
      </c>
      <c r="K47" s="1">
        <f t="shared" si="19"/>
        <v>3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3</v>
      </c>
      <c r="O47" s="1">
        <f t="shared" si="20"/>
        <v>2</v>
      </c>
      <c r="P47" s="1">
        <f t="shared" si="20"/>
        <v>1</v>
      </c>
      <c r="Q47" s="1">
        <f t="shared" si="20"/>
        <v>2</v>
      </c>
      <c r="R47" s="1">
        <f t="shared" si="20"/>
        <v>2</v>
      </c>
      <c r="S47" s="2"/>
      <c r="T47" s="1">
        <f t="shared" si="19"/>
        <v>0</v>
      </c>
    </row>
    <row r="48" spans="1:33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</v>
      </c>
      <c r="E48" s="11">
        <f>SUMPRODUCT(COUNTIFS($A$2:$A$32,{"Fri";"Sat";"Sun"},E$2:E$32,"x"))/$B48</f>
        <v>0.7857142857142857</v>
      </c>
      <c r="F48" s="11">
        <f>SUMPRODUCT(COUNTIFS($A$2:$A$32,{"Fri";"Sat";"Sun"},F$2:F$32,"x"))/$B48</f>
        <v>0.35714285714285715</v>
      </c>
      <c r="G48" s="11">
        <f>SUMPRODUCT(COUNTIFS($A$2:$A$32,{"Fri";"Sat";"Sun"},G$2:G$32,"x"))/$B48</f>
        <v>0.7142857142857143</v>
      </c>
      <c r="H48" s="11">
        <f>SUMPRODUCT(COUNTIFS($A$2:$A$32,{"Fri";"Sat";"Sun"},H$2:H$32,"x"))/$B48</f>
        <v>0.21428571428571427</v>
      </c>
      <c r="I48" s="11">
        <f>SUMPRODUCT(COUNTIFS($A$2:$A$32,{"Fri";"Sat";"Sun"},I$2:I$32,"x"))/$B48</f>
        <v>0.42857142857142855</v>
      </c>
      <c r="J48" s="11">
        <f>SUMPRODUCT(COUNTIFS($A$2:$A$32,{"Fri";"Sat";"Sun"},J$2:J$32,"x"))/$B48</f>
        <v>0.5714285714285714</v>
      </c>
      <c r="K48" s="11">
        <f>SUMPRODUCT(COUNTIFS($A$2:$A$32,{"Fri";"Sat";"Sun"},K$2:K$32,"x"))/$B48</f>
        <v>0.7142857142857143</v>
      </c>
      <c r="L48" s="11">
        <f>SUMPRODUCT(COUNTIFS($A$2:$A$32,{"Fri";"Sat";"Sun"},L$2:L$32,"x"))/$B48</f>
        <v>0.35714285714285715</v>
      </c>
      <c r="M48" s="11">
        <f>SUMPRODUCT(COUNTIFS($A$2:$A$32,{"Fri";"Sat";"Sun"},M$2:M$32,"x"))/$B48</f>
        <v>0</v>
      </c>
      <c r="N48" s="11">
        <f>SUMPRODUCT(COUNTIFS($A$2:$A$32,{"Fri";"Sat";"Sun"},N$2:N$32,"x"))/$B48</f>
        <v>0.14285714285714285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0.35714285714285715</v>
      </c>
      <c r="Q48" s="11">
        <f>SUMPRODUCT(COUNTIFS($A$2:$A$32,{"Fri";"Sat";"Sun"},Q$2:Q$32,"x"))/$B48</f>
        <v>7.1428571428571425E-2</v>
      </c>
      <c r="R48" s="11">
        <f>SUMPRODUCT(COUNTIFS($A$2:$A$32,{"Fri";"Sat";"Sun"},R$2:R$32,"x"))/$B48</f>
        <v>0.2857142857142857</v>
      </c>
      <c r="S48" s="31"/>
      <c r="T48" s="11">
        <f>SUMPRODUCT(COUNTIFS($A$2:$A$32,{"Fri";"Sat";"Sun"},T$2:T$32,"x"))/$B48</f>
        <v>1</v>
      </c>
    </row>
    <row r="49" spans="1:20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0.12903225806451613</v>
      </c>
      <c r="D49" s="11">
        <f t="shared" si="21"/>
        <v>0.12903225806451613</v>
      </c>
      <c r="E49" s="11">
        <f t="shared" si="21"/>
        <v>0.5161290322580645</v>
      </c>
      <c r="F49" s="11">
        <f t="shared" si="21"/>
        <v>0.22580645161290322</v>
      </c>
      <c r="G49" s="11">
        <f t="shared" si="21"/>
        <v>0.45161290322580644</v>
      </c>
      <c r="H49" s="11">
        <f t="shared" si="21"/>
        <v>0.16129032258064516</v>
      </c>
      <c r="I49" s="11">
        <f t="shared" si="21"/>
        <v>0.38709677419354838</v>
      </c>
      <c r="J49" s="11">
        <f t="shared" si="21"/>
        <v>0.35483870967741937</v>
      </c>
      <c r="K49" s="11">
        <f t="shared" si="21"/>
        <v>0.61290322580645162</v>
      </c>
      <c r="L49" s="11">
        <f t="shared" si="21"/>
        <v>0.22580645161290322</v>
      </c>
      <c r="M49" s="11">
        <f t="shared" si="21"/>
        <v>9.6774193548387094E-2</v>
      </c>
      <c r="N49" s="11">
        <f t="shared" si="21"/>
        <v>9.6774193548387094E-2</v>
      </c>
      <c r="O49" s="11">
        <f t="shared" si="21"/>
        <v>0</v>
      </c>
      <c r="P49" s="11">
        <f t="shared" si="21"/>
        <v>0.25806451612903225</v>
      </c>
      <c r="Q49" s="11">
        <f t="shared" si="21"/>
        <v>0.12903225806451613</v>
      </c>
      <c r="R49" s="11">
        <f t="shared" si="21"/>
        <v>0.19354838709677419</v>
      </c>
      <c r="S49" s="31"/>
      <c r="T49" s="11">
        <f t="shared" si="21"/>
        <v>1</v>
      </c>
    </row>
    <row r="50" spans="1:20" x14ac:dyDescent="0.4">
      <c r="A50" s="3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20"/>
      <c r="T50" s="12"/>
    </row>
    <row r="51" spans="1:20" x14ac:dyDescent="0.4">
      <c r="A51" s="12"/>
      <c r="B51" s="12"/>
      <c r="C51" s="3" t="s">
        <v>48</v>
      </c>
      <c r="D51" s="12"/>
      <c r="E51" s="12"/>
      <c r="F51" s="12"/>
      <c r="G51" s="12"/>
      <c r="H51" s="12"/>
      <c r="I51" s="12"/>
      <c r="J51" s="12"/>
      <c r="K51" s="12"/>
      <c r="L51" s="12" t="s">
        <v>47</v>
      </c>
      <c r="M51" s="12"/>
      <c r="N51" s="12" t="s">
        <v>43</v>
      </c>
      <c r="O51" s="12" t="s">
        <v>43</v>
      </c>
      <c r="P51" s="12"/>
      <c r="Q51" s="12"/>
      <c r="R51" s="12" t="s">
        <v>43</v>
      </c>
      <c r="S51" s="20"/>
      <c r="T51" s="12" t="s">
        <v>52</v>
      </c>
    </row>
    <row r="52" spans="1:20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 t="s">
        <v>57</v>
      </c>
      <c r="N52" s="12" t="s">
        <v>57</v>
      </c>
      <c r="O52" s="12" t="s">
        <v>57</v>
      </c>
      <c r="P52" s="12"/>
      <c r="Q52" s="12" t="s">
        <v>58</v>
      </c>
      <c r="R52" s="12" t="s">
        <v>57</v>
      </c>
      <c r="S52" s="20"/>
      <c r="T52" s="12"/>
    </row>
    <row r="53" spans="1:20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20"/>
      <c r="T53" s="12"/>
    </row>
    <row r="54" spans="1:20" x14ac:dyDescent="0.4">
      <c r="C54" s="12" t="s">
        <v>41</v>
      </c>
      <c r="J54" s="3" t="s">
        <v>53</v>
      </c>
    </row>
    <row r="55" spans="1:20" x14ac:dyDescent="0.4">
      <c r="C55" s="3" t="s">
        <v>50</v>
      </c>
    </row>
    <row r="57" spans="1:20" x14ac:dyDescent="0.4">
      <c r="C57" s="8"/>
    </row>
  </sheetData>
  <conditionalFormatting sqref="I8:S8 C4:C30 D4:S7 D8:G8 D9:S30 C31:S32 T2:T3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AD1:AD1048576 X1:X34 X38:X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XFD37 A37:W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2017-07-05T13:56:40Z</dcterms:modified>
</cp:coreProperties>
</file>